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" sheetId="1" r:id="rId4"/>
    <sheet state="visible" name="CSE1" sheetId="2" r:id="rId5"/>
    <sheet state="visible" name="CSE2" sheetId="3" r:id="rId6"/>
    <sheet state="visible" name="CSE3" sheetId="4" r:id="rId7"/>
    <sheet state="visible" name="Overview" sheetId="5" r:id="rId8"/>
    <sheet state="visible" name="Placements 2021-2022 CSE" sheetId="6" r:id="rId9"/>
  </sheets>
  <definedNames/>
  <calcPr/>
</workbook>
</file>

<file path=xl/sharedStrings.xml><?xml version="1.0" encoding="utf-8"?>
<sst xmlns="http://schemas.openxmlformats.org/spreadsheetml/2006/main" count="1816" uniqueCount="513">
  <si>
    <t>S.no</t>
  </si>
  <si>
    <t>Roll Number</t>
  </si>
  <si>
    <t>Name</t>
  </si>
  <si>
    <t>6M Internship</t>
  </si>
  <si>
    <t>First Company Placed</t>
  </si>
  <si>
    <t>Package</t>
  </si>
  <si>
    <t>Second Company Placed</t>
  </si>
  <si>
    <t>Third Company Placed</t>
  </si>
  <si>
    <t>Fourth Company Placed</t>
  </si>
  <si>
    <t>Fifth Company Placed</t>
  </si>
  <si>
    <t>Sixth Company Placed</t>
  </si>
  <si>
    <t>Seventh Company Placed</t>
  </si>
  <si>
    <t>Eighth Company Placed</t>
  </si>
  <si>
    <t>Ninth Company Placed</t>
  </si>
  <si>
    <t>23 LPA</t>
  </si>
  <si>
    <t>Loyalty Juggernaut Inc</t>
  </si>
  <si>
    <t>7LPA</t>
  </si>
  <si>
    <t>S. No</t>
  </si>
  <si>
    <t>Highest Package</t>
  </si>
  <si>
    <t>Eligibility</t>
  </si>
  <si>
    <t>Chaitanya Changala</t>
  </si>
  <si>
    <t>YES</t>
  </si>
  <si>
    <t>GAP</t>
  </si>
  <si>
    <t>9.08 LPA</t>
  </si>
  <si>
    <t>Cognizant GenC Elevate</t>
  </si>
  <si>
    <t>4 LPA</t>
  </si>
  <si>
    <t>Begari Deepthi</t>
  </si>
  <si>
    <t>Accenture (ASE)</t>
  </si>
  <si>
    <t>4.5 LPA</t>
  </si>
  <si>
    <t>Modak Analytics</t>
  </si>
  <si>
    <t>6 LPA</t>
  </si>
  <si>
    <t>Merilytics</t>
  </si>
  <si>
    <t>6.5 LPA</t>
  </si>
  <si>
    <t>Wipro</t>
  </si>
  <si>
    <t>3.5 LPA</t>
  </si>
  <si>
    <t>DBS</t>
  </si>
  <si>
    <t>8.5 LPA</t>
  </si>
  <si>
    <t>Dharani Dadamoni</t>
  </si>
  <si>
    <t>LTI (Level 1)</t>
  </si>
  <si>
    <t>5 LPA</t>
  </si>
  <si>
    <t>Dharani V</t>
  </si>
  <si>
    <t>JPMC (PPO)</t>
  </si>
  <si>
    <t>14 LPA</t>
  </si>
  <si>
    <t>Vundavalli Gayathri Kanthi Lahari</t>
  </si>
  <si>
    <t xml:space="preserve">JPMC </t>
  </si>
  <si>
    <t>Infosys (SE)</t>
  </si>
  <si>
    <t>3.6 LPA</t>
  </si>
  <si>
    <t>Kokkirala Gouri Sirisha</t>
  </si>
  <si>
    <t>Cognizant GenC</t>
  </si>
  <si>
    <t>Next Education</t>
  </si>
  <si>
    <t>MTX</t>
  </si>
  <si>
    <t>10.4 LPA</t>
  </si>
  <si>
    <t>G. Greeshma</t>
  </si>
  <si>
    <t>Micron (MFG)</t>
  </si>
  <si>
    <t>8.1 LPA</t>
  </si>
  <si>
    <t>Lavanya Gandla</t>
  </si>
  <si>
    <t>Next Education (Internship)</t>
  </si>
  <si>
    <t>15k</t>
  </si>
  <si>
    <t>RATHOD MAHESHWARI</t>
  </si>
  <si>
    <t>Katta Naga Shivani Reddy</t>
  </si>
  <si>
    <t>Sai Annanya Sree Vedala</t>
  </si>
  <si>
    <t>Sai Prathyusha G</t>
  </si>
  <si>
    <t>F5 Inc</t>
  </si>
  <si>
    <t>Sai sanjana reddy Vatte</t>
  </si>
  <si>
    <t>Sirnam Sanjana</t>
  </si>
  <si>
    <t>Deloitte (Tax PPO)</t>
  </si>
  <si>
    <t>7.6 LPA</t>
  </si>
  <si>
    <t>Sanjana Varma Mudunuri</t>
  </si>
  <si>
    <t>Sathvika Balabhadra</t>
  </si>
  <si>
    <t>Sheetal rao</t>
  </si>
  <si>
    <t>Shreya Maramreddy</t>
  </si>
  <si>
    <t>Sudeeshna Deva</t>
  </si>
  <si>
    <t>LTI (Level 3)</t>
  </si>
  <si>
    <t>8 LPA</t>
  </si>
  <si>
    <t>Amazon (Internship)</t>
  </si>
  <si>
    <t>50k</t>
  </si>
  <si>
    <t>Samsung (job)</t>
  </si>
  <si>
    <t>14.5 LPA</t>
  </si>
  <si>
    <t>Mankala Sukritha</t>
  </si>
  <si>
    <t>SalesForce</t>
  </si>
  <si>
    <t>19.65 LPA</t>
  </si>
  <si>
    <t>Dara Supriya</t>
  </si>
  <si>
    <t>Deloitte (Consulting)</t>
  </si>
  <si>
    <t>Supriya Kaluri</t>
  </si>
  <si>
    <t>LTI (Level 2)</t>
  </si>
  <si>
    <t>Sushma M</t>
  </si>
  <si>
    <t>Mohammed Abdul Muhaymin</t>
  </si>
  <si>
    <t>Muzzammil Ahmed</t>
  </si>
  <si>
    <t>Cognizant GenC Next</t>
  </si>
  <si>
    <t>6.75 LPA</t>
  </si>
  <si>
    <t>Barclays</t>
  </si>
  <si>
    <t>12.73 LPA</t>
  </si>
  <si>
    <t>Akshay Kumar Malathkar</t>
  </si>
  <si>
    <t>Accelerize 360</t>
  </si>
  <si>
    <t>7 LPA</t>
  </si>
  <si>
    <t>VISA</t>
  </si>
  <si>
    <t>22.79 LPA</t>
  </si>
  <si>
    <t>Charan teja sabbani</t>
  </si>
  <si>
    <t>Incture</t>
  </si>
  <si>
    <t>Dhruvraj Tondanoorthy</t>
  </si>
  <si>
    <t>JANAKIRAM SHARMA KASHIGARI</t>
  </si>
  <si>
    <t>Accenture (Adv ASE)</t>
  </si>
  <si>
    <t>Capillary Technologies</t>
  </si>
  <si>
    <t>Frugal Testing</t>
  </si>
  <si>
    <t>Nutanix (Internship)</t>
  </si>
  <si>
    <t>Nelavelli Kedarnath Rishit</t>
  </si>
  <si>
    <t>Narsimha Sadula</t>
  </si>
  <si>
    <t>Micron (EPS)</t>
  </si>
  <si>
    <t>Darwin Box (Internship)</t>
  </si>
  <si>
    <t>25K</t>
  </si>
  <si>
    <t>BEJGAM NITHIN SAI</t>
  </si>
  <si>
    <t>Phani Varma Gadiraju</t>
  </si>
  <si>
    <t>Micron (ETD)</t>
  </si>
  <si>
    <t>Mudavath prakash</t>
  </si>
  <si>
    <t>Pranav vinod kaple</t>
  </si>
  <si>
    <t>Dendi Praneeth Reddy</t>
  </si>
  <si>
    <t>Rama Krishna Parjanya Varanasi</t>
  </si>
  <si>
    <t>Rama Krishna Reddy Rela</t>
  </si>
  <si>
    <t>S Revanth Reddy</t>
  </si>
  <si>
    <t>Rohit Kumar Bandaru</t>
  </si>
  <si>
    <t>Kalyan Sai Bandhakavi</t>
  </si>
  <si>
    <t>Katroth Sai Shashanth</t>
  </si>
  <si>
    <t>Micron (IT Engineering)</t>
  </si>
  <si>
    <t>Saikumar Kaleru</t>
  </si>
  <si>
    <t>Advance Auto Parts (PPO)</t>
  </si>
  <si>
    <t>9 LPA</t>
  </si>
  <si>
    <t>Dhondi Santhosh Sai</t>
  </si>
  <si>
    <t>Accolite</t>
  </si>
  <si>
    <t>Amazon</t>
  </si>
  <si>
    <t>33 LPA</t>
  </si>
  <si>
    <t>Infosys (DSE)</t>
  </si>
  <si>
    <t>6.25 LPA</t>
  </si>
  <si>
    <t>Sathvik Thandra</t>
  </si>
  <si>
    <t>Siva Rama Krishnan V K</t>
  </si>
  <si>
    <t>Machavolu sivaramasarma</t>
  </si>
  <si>
    <t>SRIDHAR SHELGE</t>
  </si>
  <si>
    <t>Deloitte (Tax)</t>
  </si>
  <si>
    <t>MURUGESAN SUBRAMANI</t>
  </si>
  <si>
    <t>ServiceNow</t>
  </si>
  <si>
    <t>25 LPA</t>
  </si>
  <si>
    <t>TARUN KUMAR SONI</t>
  </si>
  <si>
    <t>Veritas</t>
  </si>
  <si>
    <t>7.5 LPA</t>
  </si>
  <si>
    <t>Samsung (internship + job)</t>
  </si>
  <si>
    <t>14.5 LPA, 30k</t>
  </si>
  <si>
    <t>Vamshisai Perumandla</t>
  </si>
  <si>
    <t>NAGIREDDY VENKATA JASWANTH REDDY</t>
  </si>
  <si>
    <t>Thadkamadla Vikas</t>
  </si>
  <si>
    <t>Searce (Software Engineer)</t>
  </si>
  <si>
    <t>Model N</t>
  </si>
  <si>
    <t>SAKKARI VISHAL GOUD</t>
  </si>
  <si>
    <t>Micron (Internship)</t>
  </si>
  <si>
    <t>Yashwanth Arshanapally</t>
  </si>
  <si>
    <t>J Yashwanth</t>
  </si>
  <si>
    <t>Anmol Maini</t>
  </si>
  <si>
    <t>Deloitte (PPO)</t>
  </si>
  <si>
    <t>Oracle (GBU)</t>
  </si>
  <si>
    <t>16.64 LPA</t>
  </si>
  <si>
    <t>Yuvraj Shalla</t>
  </si>
  <si>
    <t>Hemalatha Anthareddy</t>
  </si>
  <si>
    <t>K Ganesh Yadav</t>
  </si>
  <si>
    <t>Harshasri Yennam</t>
  </si>
  <si>
    <t>Sai sumanth Mahadevuni</t>
  </si>
  <si>
    <t>Gouthami Gongidi</t>
  </si>
  <si>
    <t>Battu Sainath</t>
  </si>
  <si>
    <t>Revu Sai Roopa Amrutha</t>
  </si>
  <si>
    <t>MULLAPUDI CHANDRA BABU</t>
  </si>
  <si>
    <t>Baddam Nithin reddy</t>
  </si>
  <si>
    <t>N.Rohith Reddy</t>
  </si>
  <si>
    <t>Bharath Kotipalli</t>
  </si>
  <si>
    <t>Pwc Acceleration</t>
  </si>
  <si>
    <t>Invesco</t>
  </si>
  <si>
    <t>Samsung (internship)</t>
  </si>
  <si>
    <t>30k</t>
  </si>
  <si>
    <t>Total Number of Students Placed</t>
  </si>
  <si>
    <t>varun</t>
  </si>
  <si>
    <t>Akhila Patlolla</t>
  </si>
  <si>
    <t>Mu Sigma</t>
  </si>
  <si>
    <t>Bhavishya Agarwal</t>
  </si>
  <si>
    <t>Caspian Debt (Internship)</t>
  </si>
  <si>
    <t>15K</t>
  </si>
  <si>
    <t>Harshitha Dendeti</t>
  </si>
  <si>
    <t>Jahnavi Jonnalagadda</t>
  </si>
  <si>
    <t>Keerthi Boya</t>
  </si>
  <si>
    <t>Collins Aerospace (Internship)</t>
  </si>
  <si>
    <t>Ford Motors</t>
  </si>
  <si>
    <t>5.7 LPA</t>
  </si>
  <si>
    <t>Head Digital Works</t>
  </si>
  <si>
    <t>12 LPA</t>
  </si>
  <si>
    <t>Kini Sanjula Dasari</t>
  </si>
  <si>
    <t>Komali Beeram</t>
  </si>
  <si>
    <t>GE Appliances (Internship)</t>
  </si>
  <si>
    <t>20K</t>
  </si>
  <si>
    <t>Advance Auto Parts</t>
  </si>
  <si>
    <t>PegaSystems</t>
  </si>
  <si>
    <t>16 LPA</t>
  </si>
  <si>
    <t>Manasa Motepalli</t>
  </si>
  <si>
    <t>Capgemini (Analyst)</t>
  </si>
  <si>
    <t>Rizmi Nawaz Sowdhagar</t>
  </si>
  <si>
    <t>HCL</t>
  </si>
  <si>
    <t>Neha Bhupathi</t>
  </si>
  <si>
    <t>Nishitha Garlapati</t>
  </si>
  <si>
    <t>Niveditha Kalva</t>
  </si>
  <si>
    <t>Micron (IT Operations)</t>
  </si>
  <si>
    <t>Pallavi Maragari</t>
  </si>
  <si>
    <t>Ramya Perumandla</t>
  </si>
  <si>
    <t>Blue Yonder (Internship)</t>
  </si>
  <si>
    <t>35K</t>
  </si>
  <si>
    <t>Saikeerthana Akella</t>
  </si>
  <si>
    <t>G Saketha</t>
  </si>
  <si>
    <t>Searce (ML Engineer)</t>
  </si>
  <si>
    <t>Sanya Tahsin Mohammed</t>
  </si>
  <si>
    <t>Virtusa</t>
  </si>
  <si>
    <t>$45K</t>
  </si>
  <si>
    <t>G.Satvika Reddy</t>
  </si>
  <si>
    <t>Siri Chandana Desiraju</t>
  </si>
  <si>
    <t>Futures First (Internship)</t>
  </si>
  <si>
    <t>Soumya Vemuri</t>
  </si>
  <si>
    <t>Nunavath Swathi</t>
  </si>
  <si>
    <t>Asfiya Tabassum</t>
  </si>
  <si>
    <t>Tejaswini Jakka</t>
  </si>
  <si>
    <t>K Tina</t>
  </si>
  <si>
    <t>PwC Acceleration Center</t>
  </si>
  <si>
    <t>Aayush Shah</t>
  </si>
  <si>
    <t>M Abhishek</t>
  </si>
  <si>
    <t>Infosys (PP)</t>
  </si>
  <si>
    <t>Tariq Ahmed</t>
  </si>
  <si>
    <t>Akash Reddy Jammula</t>
  </si>
  <si>
    <t>Hussain Aziz Ahmed</t>
  </si>
  <si>
    <t>Dinesh Rayala</t>
  </si>
  <si>
    <t>Durgaprasad Reddy Gondesi</t>
  </si>
  <si>
    <t>CareAllianz</t>
  </si>
  <si>
    <t>11 LPA</t>
  </si>
  <si>
    <t>Mohammed Faiz</t>
  </si>
  <si>
    <t>Harish Akula</t>
  </si>
  <si>
    <t>Kilari Jagruth</t>
  </si>
  <si>
    <t>Jashwanth Bheemapaka</t>
  </si>
  <si>
    <t>Jayanth Varma Pinnani</t>
  </si>
  <si>
    <t>Jayanth Vunnam</t>
  </si>
  <si>
    <t>Khush Jain</t>
  </si>
  <si>
    <t>Manideep Kalyanam</t>
  </si>
  <si>
    <t>Capgemini (Sr.Analyst)</t>
  </si>
  <si>
    <t>Pavan Kumar</t>
  </si>
  <si>
    <t>Ammanaa Pranith Reddy</t>
  </si>
  <si>
    <t>Prashanth Chavanapalli</t>
  </si>
  <si>
    <t>Pushpak Ganagoni</t>
  </si>
  <si>
    <t>Polkumpally Rohan Goud</t>
  </si>
  <si>
    <t>Sai Kiran Chetti</t>
  </si>
  <si>
    <t>Gap</t>
  </si>
  <si>
    <t>Sai kiran Gandham</t>
  </si>
  <si>
    <t>Tuljaram Sai Sankalp Singh</t>
  </si>
  <si>
    <t>Sai Sasank Majety</t>
  </si>
  <si>
    <t>Sairaj Gurram</t>
  </si>
  <si>
    <t>Samsung (Internship)</t>
  </si>
  <si>
    <t>Voodem.Saketh Reddy</t>
  </si>
  <si>
    <t>Shanmukha Manoj Bharadwaj Korrapati</t>
  </si>
  <si>
    <t>Shivang Aggarwal</t>
  </si>
  <si>
    <t>Jangam Tarun</t>
  </si>
  <si>
    <t>Varshith Sheggari</t>
  </si>
  <si>
    <t>Venkata Ajay Kumar Kadiyala</t>
  </si>
  <si>
    <t>Venkata Sai Nikhil Vuyyuru</t>
  </si>
  <si>
    <t>Malik Arsalan Majid</t>
  </si>
  <si>
    <t>Alliant Group</t>
  </si>
  <si>
    <t>5.5 LPA</t>
  </si>
  <si>
    <t>Vaneet Kapoor</t>
  </si>
  <si>
    <t>Amazon FTE</t>
  </si>
  <si>
    <t>31.5 LPA</t>
  </si>
  <si>
    <t>Kallamadi Rutva</t>
  </si>
  <si>
    <t>Genc Pro</t>
  </si>
  <si>
    <t>5.4 LPA</t>
  </si>
  <si>
    <t>Mohammed Basheer Uddin</t>
  </si>
  <si>
    <t>Hexagon</t>
  </si>
  <si>
    <t>Domakonda Raviteja</t>
  </si>
  <si>
    <t>Maanvitha Bhima</t>
  </si>
  <si>
    <t>Mohammed hafeez</t>
  </si>
  <si>
    <t>Rangamola Mounika</t>
  </si>
  <si>
    <t xml:space="preserve">Gyansys infotech </t>
  </si>
  <si>
    <t>Sunkara Teja</t>
  </si>
  <si>
    <t>Accenture (Internship)</t>
  </si>
  <si>
    <t>16.1K</t>
  </si>
  <si>
    <t>Deepak Krishna</t>
  </si>
  <si>
    <t>Nevuri Abhiram Reddy</t>
  </si>
  <si>
    <t>Mohammed sohail khan</t>
  </si>
  <si>
    <t>Yeddula Sivaprasad Reddy</t>
  </si>
  <si>
    <t>Adulla Rakesh Kumar</t>
  </si>
  <si>
    <t>Total No. of Students with Internship</t>
  </si>
  <si>
    <t>S No</t>
  </si>
  <si>
    <t>Aishwarya Jaini</t>
  </si>
  <si>
    <t>Aishwarya Mamidi</t>
  </si>
  <si>
    <t>Amulya Usem</t>
  </si>
  <si>
    <t>Anna Florence Veluvali</t>
  </si>
  <si>
    <t>Venna Ashwitha Reddy</t>
  </si>
  <si>
    <t>Chandana Kalapally</t>
  </si>
  <si>
    <t>Amazon SDE (Internship)</t>
  </si>
  <si>
    <t>80k</t>
  </si>
  <si>
    <t>Neelagiri. Dharani</t>
  </si>
  <si>
    <t>Jahnavi Garaga</t>
  </si>
  <si>
    <t>Koneti Jaya Sriharshita</t>
  </si>
  <si>
    <t>Kandi Jyoshna</t>
  </si>
  <si>
    <t>Lahari Madishetty</t>
  </si>
  <si>
    <t>Likitha dareddy</t>
  </si>
  <si>
    <t>MuSigma</t>
  </si>
  <si>
    <t>Accenture (internship)</t>
  </si>
  <si>
    <t>10k</t>
  </si>
  <si>
    <t>Madhuri Reddy Ravula</t>
  </si>
  <si>
    <t>Amazon DE (Internship)</t>
  </si>
  <si>
    <t>Reecha Pulichintha</t>
  </si>
  <si>
    <t>L.H.Sanjana</t>
  </si>
  <si>
    <t>K Sanjana Reddy</t>
  </si>
  <si>
    <t>Shreya boinipally</t>
  </si>
  <si>
    <t>Slesha Adi</t>
  </si>
  <si>
    <t>Snigdha Reddy Suram</t>
  </si>
  <si>
    <t>Gaddam Soumya Reddy</t>
  </si>
  <si>
    <t>Sudeepthi Telugu</t>
  </si>
  <si>
    <t>R Sumalatha</t>
  </si>
  <si>
    <t>Yasaswini Ummadi</t>
  </si>
  <si>
    <t>P Ahmed Asrar Hussain</t>
  </si>
  <si>
    <t>Pandu Akshay</t>
  </si>
  <si>
    <t>Anirudh Revalli</t>
  </si>
  <si>
    <t>Aryaman rao nagineni</t>
  </si>
  <si>
    <t>Barnaboss Puli</t>
  </si>
  <si>
    <t>Keka</t>
  </si>
  <si>
    <t>Bharath Reddy Shyamala</t>
  </si>
  <si>
    <t>Dharam teja mali</t>
  </si>
  <si>
    <t>BlueYonder</t>
  </si>
  <si>
    <t>35k/m</t>
  </si>
  <si>
    <t>Hari Remella</t>
  </si>
  <si>
    <t>Kakkireni Hrithik Pawan</t>
  </si>
  <si>
    <t>Mohammed Ilyas Khan</t>
  </si>
  <si>
    <t>Eslavath keshav nayak</t>
  </si>
  <si>
    <t>TCS</t>
  </si>
  <si>
    <t>3.8 LPA</t>
  </si>
  <si>
    <t>Rechintala Likhith Reddy</t>
  </si>
  <si>
    <t>Mustafa Shanawaz Mohammed</t>
  </si>
  <si>
    <t>VAYUVEGULA NAGA VENKATESH SRIPAD</t>
  </si>
  <si>
    <t>Bejjam Naveen Kumar</t>
  </si>
  <si>
    <t>Barkam Pavan kumar</t>
  </si>
  <si>
    <t>LTTS</t>
  </si>
  <si>
    <t>Rayella Pavan Kumar</t>
  </si>
  <si>
    <t>Pittala Rahul</t>
  </si>
  <si>
    <t>Ranganath Venkata Machavaram</t>
  </si>
  <si>
    <t>Rithik Kotha</t>
  </si>
  <si>
    <t>Kesireddy Rohit Reddy</t>
  </si>
  <si>
    <t>Sai Chandra Pothuri</t>
  </si>
  <si>
    <t>Dachepally Sai kiran</t>
  </si>
  <si>
    <t>Sai Kiran Parimi</t>
  </si>
  <si>
    <t>Oracle (FSGBU)</t>
  </si>
  <si>
    <t>PANASA SAI PAVAN</t>
  </si>
  <si>
    <t>Sai Sanjeev Kumar Reddy Boppidi</t>
  </si>
  <si>
    <t>K Sai Shashank</t>
  </si>
  <si>
    <t>Sai Sumanth Korthiwada</t>
  </si>
  <si>
    <t>MathWorks</t>
  </si>
  <si>
    <t>15 LPA</t>
  </si>
  <si>
    <t>Shrikar Reddy Kota</t>
  </si>
  <si>
    <t>Sidharth Sitimalle</t>
  </si>
  <si>
    <t>Srinath</t>
  </si>
  <si>
    <t>Perumandla Srivatsava</t>
  </si>
  <si>
    <t>Vijay Donkena</t>
  </si>
  <si>
    <t>Yashwanth Thimmareddy Reddy</t>
  </si>
  <si>
    <t>Yashwanth Reddy Vadde</t>
  </si>
  <si>
    <t>Juspay (Internship Off Campus)</t>
  </si>
  <si>
    <t>30K</t>
  </si>
  <si>
    <t>Paras Phull</t>
  </si>
  <si>
    <t>Arjun Singh Thakur</t>
  </si>
  <si>
    <t>Capgemini (Sr Analyst)</t>
  </si>
  <si>
    <t>Gopi Laya Rao</t>
  </si>
  <si>
    <t>Geetha Rachha</t>
  </si>
  <si>
    <t>Varsha oggu</t>
  </si>
  <si>
    <t>Sneha Kedari</t>
  </si>
  <si>
    <t>Rudra Rachana</t>
  </si>
  <si>
    <t>Dhanavath Pavan</t>
  </si>
  <si>
    <t>MindTree (Off Campus)</t>
  </si>
  <si>
    <t>Lakkampelly Lahari</t>
  </si>
  <si>
    <t>Malavath Sairoshan</t>
  </si>
  <si>
    <t>Suhas reddy janke</t>
  </si>
  <si>
    <t>Companies Visited</t>
  </si>
  <si>
    <t>Package(LPA)</t>
  </si>
  <si>
    <t>First Round Test Date</t>
  </si>
  <si>
    <t>Interviews Date</t>
  </si>
  <si>
    <t>Total Offers</t>
  </si>
  <si>
    <t>CSE-1</t>
  </si>
  <si>
    <t>CSE-2</t>
  </si>
  <si>
    <t>CSE-3</t>
  </si>
  <si>
    <t>Internship giving Companies</t>
  </si>
  <si>
    <t>Stipend</t>
  </si>
  <si>
    <t>13/07/2021</t>
  </si>
  <si>
    <t>25k</t>
  </si>
  <si>
    <t>10/09/2021 - 14/09/2021</t>
  </si>
  <si>
    <t>18/09/2021 - 22/09/2021</t>
  </si>
  <si>
    <t>24/08/2021</t>
  </si>
  <si>
    <t>26/08/2021</t>
  </si>
  <si>
    <t>Blue Yonder</t>
  </si>
  <si>
    <t>35k</t>
  </si>
  <si>
    <t>Advance Autoparts</t>
  </si>
  <si>
    <t>12k</t>
  </si>
  <si>
    <t>Advance Autoparts (PPO)</t>
  </si>
  <si>
    <t>22k</t>
  </si>
  <si>
    <t>Afford Medical</t>
  </si>
  <si>
    <t>30/09/2021</t>
  </si>
  <si>
    <t>Aganitha Solutions</t>
  </si>
  <si>
    <t>5 LPA, 6.5 LPA, 8 LPA</t>
  </si>
  <si>
    <t>15/09/2021</t>
  </si>
  <si>
    <t>Aizen Algo</t>
  </si>
  <si>
    <t>14/09/2021</t>
  </si>
  <si>
    <t>31 LPA</t>
  </si>
  <si>
    <t>Collins Aerospace</t>
  </si>
  <si>
    <t>Blue Yonder (internship)</t>
  </si>
  <si>
    <t>24/09/2021 - 01/09/2021</t>
  </si>
  <si>
    <t>Futures First</t>
  </si>
  <si>
    <t>Cloud4C</t>
  </si>
  <si>
    <t>JPMorgan Chase &amp; Co.</t>
  </si>
  <si>
    <t>14/08/2021</t>
  </si>
  <si>
    <t>Cognizant GenC Pro</t>
  </si>
  <si>
    <t>25/10/2021</t>
  </si>
  <si>
    <t>26/10/2021</t>
  </si>
  <si>
    <t>Micron</t>
  </si>
  <si>
    <t>20/10/2021</t>
  </si>
  <si>
    <t>19/12/2021 - 20/12/2021</t>
  </si>
  <si>
    <t>17/08/2021</t>
  </si>
  <si>
    <t>20/08/2021</t>
  </si>
  <si>
    <t>Nutanix</t>
  </si>
  <si>
    <t>Oracle</t>
  </si>
  <si>
    <t>DeltaX</t>
  </si>
  <si>
    <t>13/10/2021</t>
  </si>
  <si>
    <t>Samsung</t>
  </si>
  <si>
    <t>EPAM</t>
  </si>
  <si>
    <t>18/09/2021</t>
  </si>
  <si>
    <t>Searce</t>
  </si>
  <si>
    <t>19/09/2021</t>
  </si>
  <si>
    <t>28/09/2021</t>
  </si>
  <si>
    <t>11/10/2021, 13/10/2021</t>
  </si>
  <si>
    <t>GoldmanSachs (Off Campus)</t>
  </si>
  <si>
    <t>22/08/2021</t>
  </si>
  <si>
    <t xml:space="preserve">Gyansis infotech </t>
  </si>
  <si>
    <t xml:space="preserve">4.5 LPA </t>
  </si>
  <si>
    <t>4.5LPA</t>
  </si>
  <si>
    <t>31/12/2021</t>
  </si>
  <si>
    <t>Hexaware</t>
  </si>
  <si>
    <t>16/09/2021</t>
  </si>
  <si>
    <t>26/02/2021</t>
  </si>
  <si>
    <t>17/06/2021 - 20/06/2021</t>
  </si>
  <si>
    <t>13/08/2020 - 17/08/2020</t>
  </si>
  <si>
    <t>21/10/2021</t>
  </si>
  <si>
    <t>Larsen &amp; Turbo Infotech Ltd. (LTI)</t>
  </si>
  <si>
    <t>15/10/2021</t>
  </si>
  <si>
    <t>25/11/2021</t>
  </si>
  <si>
    <t>Mathworks</t>
  </si>
  <si>
    <t>15.5 LPA</t>
  </si>
  <si>
    <t>19/08/2021</t>
  </si>
  <si>
    <t>31/08/2021</t>
  </si>
  <si>
    <t>4.63 LPA</t>
  </si>
  <si>
    <t>25/08/2021</t>
  </si>
  <si>
    <t>27/08/2021</t>
  </si>
  <si>
    <t>20/09/2021</t>
  </si>
  <si>
    <t>23/09/2021</t>
  </si>
  <si>
    <t>19/10/2021</t>
  </si>
  <si>
    <t>17/11/2021</t>
  </si>
  <si>
    <t>16.6 LPA</t>
  </si>
  <si>
    <t>18/08/2021</t>
  </si>
  <si>
    <t>23/08/2021</t>
  </si>
  <si>
    <t>Pegasystems</t>
  </si>
  <si>
    <t>20/10/2021 - 22/10/2021</t>
  </si>
  <si>
    <t>Samsung (internship, job)</t>
  </si>
  <si>
    <t>30k, 14.5 LPA</t>
  </si>
  <si>
    <t>TCS (DIGITAL offer)</t>
  </si>
  <si>
    <t>TCS Codevita &amp; NQT (NINJA offer)</t>
  </si>
  <si>
    <t>22.39 LPA</t>
  </si>
  <si>
    <t>XIT Solutions</t>
  </si>
  <si>
    <t>2.5 - 5 LPA</t>
  </si>
  <si>
    <t>Number of Offers</t>
  </si>
  <si>
    <t>Drive Dates</t>
  </si>
  <si>
    <t>13/07/2021 - 20/09/2021</t>
  </si>
  <si>
    <t>24/08/2021 - 26/08/2021</t>
  </si>
  <si>
    <t>01/11/2021 - 02/11/2021</t>
  </si>
  <si>
    <t>12/10/2021 - 17/10/2021</t>
  </si>
  <si>
    <t>Capillary Tech</t>
  </si>
  <si>
    <t>14/08/2021 - 28/08/2021</t>
  </si>
  <si>
    <t>25/10/2021 - 26/10/2021</t>
  </si>
  <si>
    <t>JPMorgan &amp; Chase</t>
  </si>
  <si>
    <t>17/07/2021</t>
  </si>
  <si>
    <t>18/10/2021</t>
  </si>
  <si>
    <t>19/09/2021 - 28/09/2021</t>
  </si>
  <si>
    <t>11/10/2021 - 13/10/2021</t>
  </si>
  <si>
    <t xml:space="preserve"> </t>
  </si>
  <si>
    <t>12/10/2021 - 29/10/2021</t>
  </si>
  <si>
    <t>05/10/2021 - 06/10/2021</t>
  </si>
  <si>
    <t>Infosys</t>
  </si>
  <si>
    <t>20/05/2021</t>
  </si>
  <si>
    <t>08/08/2021 - 19/08/2021</t>
  </si>
  <si>
    <t>JPMC</t>
  </si>
  <si>
    <t>26/02/2021 - 20/06/2021</t>
  </si>
  <si>
    <t>26/02/2020 - 20/06/2020</t>
  </si>
  <si>
    <t>11/09/2021 - 15/09/2021</t>
  </si>
  <si>
    <t>19/08/2021 - 31/08/2021</t>
  </si>
  <si>
    <t>13/09/2021 - 14/09/2021</t>
  </si>
  <si>
    <t>25/08/2021 - 27/08/2021</t>
  </si>
  <si>
    <t>20/09/2021 - 23/09/2021</t>
  </si>
  <si>
    <t>24/09/2021 - 25/09/2021</t>
  </si>
  <si>
    <t>24/10/2021 - 26/10/2021</t>
  </si>
  <si>
    <t>18/08/2021 - 23/08/2021</t>
  </si>
  <si>
    <t>09/10/2021 - 22/10/2021</t>
  </si>
  <si>
    <t>15/09/2020 - 17/09/2020</t>
  </si>
  <si>
    <t>06/10/2021 - 07/10/2021</t>
  </si>
  <si>
    <t>8/10/2021 - 12/08/2021</t>
  </si>
  <si>
    <t>09/08/2021 - 15/10/2021</t>
  </si>
  <si>
    <t>17/03/2021 - 18/03/2021</t>
  </si>
  <si>
    <t>28/10/2021 - 30/10/2021</t>
  </si>
  <si>
    <t>04/09/2021 - 26/09/2021</t>
  </si>
  <si>
    <t>Wipro National Talent Hunt</t>
  </si>
  <si>
    <t>Total No of offers</t>
  </si>
  <si>
    <t>Total Students Placed</t>
  </si>
  <si>
    <t>Total Internships</t>
  </si>
  <si>
    <t>Total Unplaced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</si>
</sst>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&quot;$&quot;"/>
    <numFmt numFmtId="165" formatCode="dd&quot;/&quot;mm&quot;/&quot;yyyy"/>
    <numFmt numFmtId="166" formatCode="mm/dd/yyyy"/>
    <numFmt numFmtId="167" formatCode="m/d/yyyy"/>
    <numFmt numFmtId="168" formatCode="mm-dd-yyyy"/>
    <numFmt numFmtId="169" formatCode="m-d-yyyy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11.0"/>
      <color rgb="FFF7981D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BC2E6"/>
        <bgColor rgb="FF9BC2E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2" numFmtId="3" xfId="0" applyBorder="1" applyFont="1" applyNumberFormat="1"/>
    <xf borderId="1" fillId="0" fontId="2" numFmtId="164" xfId="0" applyBorder="1" applyFont="1" applyNumberFormat="1"/>
    <xf borderId="0" fillId="3" fontId="1" numFmtId="0" xfId="0" applyAlignment="1" applyFill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0" fillId="4" fontId="2" numFmtId="0" xfId="0" applyFill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5" fontId="1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/>
    </xf>
    <xf borderId="0" fillId="2" fontId="1" numFmtId="0" xfId="0" applyAlignment="1" applyFont="1">
      <alignment readingOrder="0"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0" fontId="4" numFmtId="3" xfId="0" applyAlignment="1" applyBorder="1" applyFont="1" applyNumberFormat="1">
      <alignment readingOrder="0" vertical="bottom"/>
    </xf>
    <xf borderId="2" fillId="0" fontId="4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1" fillId="5" fontId="1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2" fontId="1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right" vertical="bottom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vertical="bottom"/>
    </xf>
    <xf borderId="1" fillId="0" fontId="4" numFmtId="165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vertical="bottom"/>
    </xf>
    <xf borderId="1" fillId="0" fontId="4" numFmtId="165" xfId="0" applyAlignment="1" applyBorder="1" applyFont="1" applyNumberFormat="1">
      <alignment horizontal="center" vertical="bottom"/>
    </xf>
    <xf borderId="1" fillId="4" fontId="7" numFmtId="0" xfId="0" applyAlignment="1" applyBorder="1" applyFont="1">
      <alignment horizontal="left" readingOrder="0"/>
    </xf>
    <xf borderId="1" fillId="0" fontId="4" numFmtId="166" xfId="0" applyAlignment="1" applyBorder="1" applyFont="1" applyNumberFormat="1">
      <alignment horizontal="center" vertical="bottom"/>
    </xf>
    <xf borderId="0" fillId="0" fontId="4" numFmtId="0" xfId="0" applyAlignment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4" numFmtId="167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left" vertical="bottom"/>
    </xf>
    <xf borderId="1" fillId="0" fontId="4" numFmtId="168" xfId="0" applyAlignment="1" applyBorder="1" applyFont="1" applyNumberFormat="1">
      <alignment horizontal="center" vertical="bottom"/>
    </xf>
    <xf borderId="1" fillId="0" fontId="4" numFmtId="169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167" xfId="0" applyAlignment="1" applyBorder="1" applyFont="1" applyNumberFormat="1">
      <alignment horizontal="center" readingOrder="0" vertical="bottom"/>
    </xf>
    <xf borderId="3" fillId="6" fontId="6" numFmtId="0" xfId="0" applyAlignment="1" applyBorder="1" applyFill="1" applyFont="1">
      <alignment readingOrder="0" vertical="bottom"/>
    </xf>
    <xf borderId="0" fillId="0" fontId="7" numFmtId="0" xfId="0" applyAlignment="1" applyFont="1">
      <alignment vertical="bottom"/>
    </xf>
    <xf borderId="2" fillId="2" fontId="6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vertical="bottom"/>
    </xf>
    <xf borderId="0" fillId="0" fontId="7" numFmtId="166" xfId="0" applyAlignment="1" applyFont="1" applyNumberFormat="1">
      <alignment horizontal="center" readingOrder="0" vertical="bottom"/>
    </xf>
    <xf borderId="0" fillId="0" fontId="2" numFmtId="166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 shrinkToFit="0" vertical="bottom" wrapText="0"/>
    </xf>
    <xf borderId="0" fillId="0" fontId="2" numFmtId="167" xfId="0" applyAlignment="1" applyFont="1" applyNumberFormat="1">
      <alignment horizontal="center" readingOrder="0"/>
    </xf>
    <xf borderId="0" fillId="4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6" fontId="6" numFmtId="0" xfId="0" applyAlignment="1" applyFont="1">
      <alignment readingOrder="0" vertical="bottom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2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2.0"/>
    <col customWidth="1" min="3" max="3" width="25.88"/>
    <col customWidth="1" min="4" max="4" width="11.88"/>
    <col customWidth="1" min="5" max="5" width="24.5"/>
    <col customWidth="1" min="6" max="6" width="8.63"/>
    <col customWidth="1" min="7" max="7" width="20.88"/>
    <col customWidth="1" min="8" max="8" width="8.63"/>
    <col customWidth="1" min="9" max="9" width="23.38"/>
    <col customWidth="1" min="10" max="10" width="8.63"/>
    <col customWidth="1" min="11" max="11" width="23.38"/>
    <col customWidth="1" min="12" max="12" width="7.75"/>
    <col customWidth="1" min="13" max="13" width="19.88"/>
    <col customWidth="1" min="14" max="14" width="7.75"/>
    <col customWidth="1" min="15" max="15" width="19.0"/>
    <col customWidth="1" min="16" max="16" width="7.75"/>
    <col customWidth="1" min="17" max="17" width="21.38"/>
    <col customWidth="1" min="18" max="18" width="7.75"/>
    <col customWidth="1" min="19" max="19" width="20.13"/>
    <col customWidth="1" min="20" max="20" width="7.75"/>
    <col customWidth="1" min="21" max="21" width="19.13"/>
    <col customWidth="1" min="22" max="22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  <c r="I1" s="2" t="s">
        <v>7</v>
      </c>
      <c r="J1" s="2" t="s">
        <v>5</v>
      </c>
      <c r="K1" s="2" t="s">
        <v>8</v>
      </c>
      <c r="L1" s="2" t="s">
        <v>5</v>
      </c>
      <c r="M1" s="2" t="s">
        <v>9</v>
      </c>
      <c r="N1" s="2" t="s">
        <v>5</v>
      </c>
      <c r="O1" s="2" t="s">
        <v>10</v>
      </c>
      <c r="P1" s="2" t="s">
        <v>5</v>
      </c>
      <c r="Q1" s="2" t="s">
        <v>11</v>
      </c>
      <c r="R1" s="2" t="s">
        <v>5</v>
      </c>
      <c r="S1" s="2" t="s">
        <v>12</v>
      </c>
      <c r="T1" s="2" t="s">
        <v>5</v>
      </c>
      <c r="U1" s="2" t="s">
        <v>13</v>
      </c>
      <c r="V1" s="2" t="s">
        <v>5</v>
      </c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>
        <v>1.0</v>
      </c>
      <c r="B2" s="4">
        <f>'CSE1'!B2</f>
        <v>160118733001</v>
      </c>
      <c r="C2" s="4" t="str">
        <f>'CSE1'!C2</f>
        <v>Chaitanya Changala</v>
      </c>
      <c r="D2" s="5" t="str">
        <f>'CSE1'!D2</f>
        <v>YES</v>
      </c>
      <c r="E2" s="4" t="str">
        <f>'CSE1'!E2</f>
        <v>GAP</v>
      </c>
      <c r="F2" s="4" t="str">
        <f>'CSE1'!F2</f>
        <v>9.08 LPA</v>
      </c>
      <c r="G2" s="4" t="str">
        <f>'CSE1'!G2</f>
        <v>Cognizant GenC Elevate</v>
      </c>
      <c r="H2" s="4" t="str">
        <f>'CSE1'!H2</f>
        <v>4 LPA</v>
      </c>
      <c r="I2" s="4" t="str">
        <f>'CSE1'!I2</f>
        <v/>
      </c>
      <c r="J2" s="4" t="str">
        <f>'CSE1'!J2</f>
        <v/>
      </c>
      <c r="K2" s="4" t="str">
        <f>'CSE1'!K2</f>
        <v/>
      </c>
      <c r="L2" s="4" t="str">
        <f>'CSE1'!L2</f>
        <v/>
      </c>
      <c r="M2" s="4" t="str">
        <f>'CSE1'!M2</f>
        <v/>
      </c>
      <c r="N2" s="4" t="str">
        <f>'CSE1'!N2</f>
        <v/>
      </c>
      <c r="O2" s="4" t="str">
        <f>'CSE1'!O2</f>
        <v/>
      </c>
      <c r="P2" s="4" t="str">
        <f>'CSE1'!P2</f>
        <v/>
      </c>
      <c r="Q2" s="4" t="str">
        <f>'CSE1'!Q2</f>
        <v/>
      </c>
      <c r="R2" s="4" t="str">
        <f>'CSE1'!R2</f>
        <v/>
      </c>
      <c r="S2" s="4" t="str">
        <f>'CSE1'!S2</f>
        <v/>
      </c>
      <c r="T2" s="4" t="str">
        <f>'CSE1'!T2</f>
        <v/>
      </c>
      <c r="U2" s="4" t="str">
        <f>'CSE1'!U2</f>
        <v/>
      </c>
      <c r="V2" s="6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4">
        <v>2.0</v>
      </c>
      <c r="B3" s="4">
        <f>'CSE1'!B3</f>
        <v>160118733002</v>
      </c>
      <c r="C3" s="4" t="str">
        <f>'CSE1'!C3</f>
        <v>Begari Deepthi</v>
      </c>
      <c r="D3" s="5" t="str">
        <f>'CSE1'!D3</f>
        <v/>
      </c>
      <c r="E3" s="4" t="str">
        <f>'CSE1'!E3</f>
        <v>Accenture (ASE)</v>
      </c>
      <c r="F3" s="4" t="str">
        <f>'CSE1'!F3</f>
        <v>4.5 LPA</v>
      </c>
      <c r="G3" s="4" t="str">
        <f>'CSE1'!G3</f>
        <v>Modak Analytics</v>
      </c>
      <c r="H3" s="4" t="str">
        <f>'CSE1'!H3</f>
        <v>6 LPA</v>
      </c>
      <c r="I3" s="4" t="str">
        <f>'CSE1'!I3</f>
        <v>Merilytics</v>
      </c>
      <c r="J3" s="4" t="str">
        <f>'CSE1'!J3</f>
        <v>6.5 LPA</v>
      </c>
      <c r="K3" s="4" t="str">
        <f>'CSE1'!K3</f>
        <v>Wipro</v>
      </c>
      <c r="L3" s="4" t="str">
        <f>'CSE1'!L3</f>
        <v>3.5 LPA</v>
      </c>
      <c r="M3" s="4" t="str">
        <f>'CSE1'!M3</f>
        <v>DBS</v>
      </c>
      <c r="N3" s="4" t="str">
        <f>'CSE1'!N3</f>
        <v>8.5 LPA</v>
      </c>
      <c r="O3" s="4" t="str">
        <f>'CSE1'!O3</f>
        <v/>
      </c>
      <c r="P3" s="4" t="str">
        <f>'CSE1'!P3</f>
        <v/>
      </c>
      <c r="Q3" s="4" t="str">
        <f>'CSE1'!Q3</f>
        <v/>
      </c>
      <c r="R3" s="4" t="str">
        <f>'CSE1'!R3</f>
        <v/>
      </c>
      <c r="S3" s="4" t="str">
        <f>'CSE1'!S3</f>
        <v/>
      </c>
      <c r="T3" s="4" t="str">
        <f>'CSE1'!T3</f>
        <v/>
      </c>
      <c r="U3" s="4" t="str">
        <f>'CSE1'!U3</f>
        <v/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4">
        <v>3.0</v>
      </c>
      <c r="B4" s="4">
        <f>'CSE1'!B4</f>
        <v>160118733003</v>
      </c>
      <c r="C4" s="4" t="str">
        <f>'CSE1'!C4</f>
        <v>Dharani Dadamoni</v>
      </c>
      <c r="D4" s="5" t="str">
        <f>'CSE1'!D4</f>
        <v/>
      </c>
      <c r="E4" s="4" t="str">
        <f>'CSE1'!E4</f>
        <v>LTI (Level 1)</v>
      </c>
      <c r="F4" s="4" t="str">
        <f>'CSE1'!F4</f>
        <v>5 LPA</v>
      </c>
      <c r="G4" s="4" t="str">
        <f>'CSE1'!G4</f>
        <v>Wipro</v>
      </c>
      <c r="H4" s="4" t="str">
        <f>'CSE1'!H4</f>
        <v>3.5 LPA</v>
      </c>
      <c r="I4" s="4" t="str">
        <f>'CSE1'!I4</f>
        <v/>
      </c>
      <c r="J4" s="4" t="str">
        <f>'CSE1'!J4</f>
        <v/>
      </c>
      <c r="K4" s="4" t="str">
        <f>'CSE1'!K4</f>
        <v/>
      </c>
      <c r="L4" s="4" t="str">
        <f>'CSE1'!L4</f>
        <v/>
      </c>
      <c r="M4" s="4" t="str">
        <f>'CSE1'!M4</f>
        <v/>
      </c>
      <c r="N4" s="4" t="str">
        <f>'CSE1'!N4</f>
        <v/>
      </c>
      <c r="O4" s="4" t="str">
        <f>'CSE1'!O4</f>
        <v/>
      </c>
      <c r="P4" s="4" t="str">
        <f>'CSE1'!P4</f>
        <v/>
      </c>
      <c r="Q4" s="4" t="str">
        <f>'CSE1'!Q4</f>
        <v/>
      </c>
      <c r="R4" s="4" t="str">
        <f>'CSE1'!R4</f>
        <v/>
      </c>
      <c r="S4" s="4" t="str">
        <f>'CSE1'!S4</f>
        <v/>
      </c>
      <c r="T4" s="4" t="str">
        <f>'CSE1'!T4</f>
        <v/>
      </c>
      <c r="U4" s="4" t="str">
        <f>'CSE1'!U4</f>
        <v/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4">
        <v>4.0</v>
      </c>
      <c r="B5" s="4">
        <f>'CSE1'!B5</f>
        <v>160118733004</v>
      </c>
      <c r="C5" s="4" t="str">
        <f>'CSE1'!C5</f>
        <v>Dharani V</v>
      </c>
      <c r="D5" s="5" t="str">
        <f>'CSE1'!D5</f>
        <v>YES</v>
      </c>
      <c r="E5" s="4" t="str">
        <f>'CSE1'!E5</f>
        <v>JPMC (PPO)</v>
      </c>
      <c r="F5" s="4" t="str">
        <f>'CSE1'!F5</f>
        <v>14 LPA</v>
      </c>
      <c r="G5" s="4" t="str">
        <f>'CSE1'!G5</f>
        <v/>
      </c>
      <c r="H5" s="4" t="str">
        <f>'CSE1'!H5</f>
        <v/>
      </c>
      <c r="I5" s="4" t="str">
        <f>'CSE1'!I5</f>
        <v/>
      </c>
      <c r="J5" s="4" t="str">
        <f>'CSE1'!J5</f>
        <v/>
      </c>
      <c r="K5" s="4" t="str">
        <f>'CSE1'!K5</f>
        <v/>
      </c>
      <c r="L5" s="4" t="str">
        <f>'CSE1'!L5</f>
        <v/>
      </c>
      <c r="M5" s="4" t="str">
        <f>'CSE1'!M5</f>
        <v/>
      </c>
      <c r="N5" s="4" t="str">
        <f>'CSE1'!N5</f>
        <v/>
      </c>
      <c r="O5" s="4" t="str">
        <f>'CSE1'!O5</f>
        <v/>
      </c>
      <c r="P5" s="4" t="str">
        <f>'CSE1'!P5</f>
        <v/>
      </c>
      <c r="Q5" s="4" t="str">
        <f>'CSE1'!Q5</f>
        <v/>
      </c>
      <c r="R5" s="4" t="str">
        <f>'CSE1'!R5</f>
        <v/>
      </c>
      <c r="S5" s="4" t="str">
        <f>'CSE1'!S5</f>
        <v/>
      </c>
      <c r="T5" s="4" t="str">
        <f>'CSE1'!T5</f>
        <v/>
      </c>
      <c r="U5" s="4" t="str">
        <f>'CSE1'!U5</f>
        <v/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4">
        <v>5.0</v>
      </c>
      <c r="B6" s="4">
        <f>'CSE1'!B6</f>
        <v>160118733005</v>
      </c>
      <c r="C6" s="4" t="str">
        <f>'CSE1'!C6</f>
        <v>Vundavalli Gayathri Kanthi Lahari</v>
      </c>
      <c r="D6" s="5" t="str">
        <f>'CSE1'!D6</f>
        <v>YES</v>
      </c>
      <c r="E6" s="4" t="str">
        <f>'CSE1'!E6</f>
        <v>JPMC </v>
      </c>
      <c r="F6" s="4" t="str">
        <f>'CSE1'!F6</f>
        <v>14 LPA</v>
      </c>
      <c r="G6" s="4" t="str">
        <f>'CSE1'!G6</f>
        <v>Infosys (SE)</v>
      </c>
      <c r="H6" s="4" t="str">
        <f>'CSE1'!H6</f>
        <v>3.6 LPA</v>
      </c>
      <c r="I6" s="4" t="str">
        <f>'CSE1'!I6</f>
        <v/>
      </c>
      <c r="J6" s="4" t="str">
        <f>'CSE1'!J6</f>
        <v/>
      </c>
      <c r="K6" s="4" t="str">
        <f>'CSE1'!K6</f>
        <v/>
      </c>
      <c r="L6" s="4" t="str">
        <f>'CSE1'!L6</f>
        <v/>
      </c>
      <c r="M6" s="4" t="str">
        <f>'CSE1'!M6</f>
        <v/>
      </c>
      <c r="N6" s="4" t="str">
        <f>'CSE1'!N6</f>
        <v/>
      </c>
      <c r="O6" s="4" t="str">
        <f>'CSE1'!O6</f>
        <v/>
      </c>
      <c r="P6" s="4" t="str">
        <f>'CSE1'!P6</f>
        <v/>
      </c>
      <c r="Q6" s="4" t="str">
        <f>'CSE1'!Q6</f>
        <v/>
      </c>
      <c r="R6" s="4" t="str">
        <f>'CSE1'!R6</f>
        <v/>
      </c>
      <c r="S6" s="4" t="str">
        <f>'CSE1'!S6</f>
        <v/>
      </c>
      <c r="T6" s="4" t="str">
        <f>'CSE1'!T6</f>
        <v/>
      </c>
      <c r="U6" s="4" t="str">
        <f>'CSE1'!U6</f>
        <v/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4">
        <v>6.0</v>
      </c>
      <c r="B7" s="4">
        <f>'CSE1'!B7</f>
        <v>160118733006</v>
      </c>
      <c r="C7" s="4" t="str">
        <f>'CSE1'!C7</f>
        <v>Kokkirala Gouri Sirisha</v>
      </c>
      <c r="D7" s="5" t="str">
        <f>'CSE1'!D7</f>
        <v>YES</v>
      </c>
      <c r="E7" s="4" t="str">
        <f>'CSE1'!E7</f>
        <v>Cognizant GenC</v>
      </c>
      <c r="F7" s="4" t="str">
        <f>'CSE1'!F7</f>
        <v>4 LPA</v>
      </c>
      <c r="G7" s="4" t="str">
        <f>'CSE1'!G7</f>
        <v>Next Education</v>
      </c>
      <c r="H7" s="4" t="str">
        <f>'CSE1'!H7</f>
        <v>6 LPA</v>
      </c>
      <c r="I7" s="4" t="str">
        <f>'CSE1'!I7</f>
        <v>MTX</v>
      </c>
      <c r="J7" s="4" t="str">
        <f>'CSE1'!J7</f>
        <v>10.4 LPA</v>
      </c>
      <c r="K7" s="4" t="str">
        <f>'CSE1'!K7</f>
        <v/>
      </c>
      <c r="L7" s="4" t="str">
        <f>'CSE1'!L7</f>
        <v/>
      </c>
      <c r="M7" s="4" t="str">
        <f>'CSE1'!M7</f>
        <v/>
      </c>
      <c r="N7" s="4" t="str">
        <f>'CSE1'!N7</f>
        <v/>
      </c>
      <c r="O7" s="4" t="str">
        <f>'CSE1'!O7</f>
        <v/>
      </c>
      <c r="P7" s="4" t="str">
        <f>'CSE1'!P7</f>
        <v/>
      </c>
      <c r="Q7" s="4" t="str">
        <f>'CSE1'!Q7</f>
        <v/>
      </c>
      <c r="R7" s="4" t="str">
        <f>'CSE1'!R7</f>
        <v/>
      </c>
      <c r="S7" s="4" t="str">
        <f>'CSE1'!S7</f>
        <v/>
      </c>
      <c r="T7" s="4" t="str">
        <f>'CSE1'!T7</f>
        <v/>
      </c>
      <c r="U7" s="4" t="str">
        <f>'CSE1'!U7</f>
        <v/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4">
        <v>7.0</v>
      </c>
      <c r="B8" s="4">
        <f>'CSE1'!B8</f>
        <v>160118733007</v>
      </c>
      <c r="C8" s="4" t="str">
        <f>'CSE1'!C8</f>
        <v>G. Greeshma</v>
      </c>
      <c r="D8" s="5" t="str">
        <f>'CSE1'!D8</f>
        <v>YES</v>
      </c>
      <c r="E8" s="4" t="str">
        <f>'CSE1'!E8</f>
        <v>Micron (MFG)</v>
      </c>
      <c r="F8" s="4" t="str">
        <f>'CSE1'!F8</f>
        <v>8.1 LPA</v>
      </c>
      <c r="G8" s="4" t="str">
        <f>'CSE1'!G8</f>
        <v/>
      </c>
      <c r="H8" s="4" t="str">
        <f>'CSE1'!H8</f>
        <v/>
      </c>
      <c r="I8" s="4" t="str">
        <f>'CSE1'!I8</f>
        <v/>
      </c>
      <c r="J8" s="4" t="str">
        <f>'CSE1'!J8</f>
        <v/>
      </c>
      <c r="K8" s="4" t="str">
        <f>'CSE1'!K8</f>
        <v/>
      </c>
      <c r="L8" s="4" t="str">
        <f>'CSE1'!L8</f>
        <v/>
      </c>
      <c r="M8" s="4" t="str">
        <f>'CSE1'!M8</f>
        <v/>
      </c>
      <c r="N8" s="4" t="str">
        <f>'CSE1'!N8</f>
        <v/>
      </c>
      <c r="O8" s="4" t="str">
        <f>'CSE1'!O8</f>
        <v/>
      </c>
      <c r="P8" s="4" t="str">
        <f>'CSE1'!P8</f>
        <v/>
      </c>
      <c r="Q8" s="4" t="str">
        <f>'CSE1'!Q8</f>
        <v/>
      </c>
      <c r="R8" s="4" t="str">
        <f>'CSE1'!R8</f>
        <v/>
      </c>
      <c r="S8" s="4" t="str">
        <f>'CSE1'!S8</f>
        <v/>
      </c>
      <c r="T8" s="4" t="str">
        <f>'CSE1'!T8</f>
        <v/>
      </c>
      <c r="U8" s="4" t="str">
        <f>'CSE1'!U8</f>
        <v/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4">
        <v>8.0</v>
      </c>
      <c r="B9" s="4">
        <f>'CSE1'!B9</f>
        <v>160118733008</v>
      </c>
      <c r="C9" s="4" t="str">
        <f>'CSE1'!C9</f>
        <v>Lavanya Gandla</v>
      </c>
      <c r="D9" s="5" t="str">
        <f>'CSE1'!D9</f>
        <v>YES</v>
      </c>
      <c r="E9" s="4" t="str">
        <f>'CSE1'!E9</f>
        <v>LTI (Level 1)</v>
      </c>
      <c r="F9" s="4" t="str">
        <f>'CSE1'!F9</f>
        <v>5 LPA</v>
      </c>
      <c r="G9" s="4" t="str">
        <f>'CSE1'!G9</f>
        <v>Wipro</v>
      </c>
      <c r="H9" s="4" t="str">
        <f>'CSE1'!H9</f>
        <v>3.5 LPA</v>
      </c>
      <c r="I9" s="4" t="str">
        <f>'CSE1'!I9</f>
        <v>Next Education (Internship)</v>
      </c>
      <c r="J9" s="4" t="str">
        <f>'CSE1'!J9</f>
        <v>15k</v>
      </c>
      <c r="K9" s="4" t="str">
        <f>'CSE1'!K9</f>
        <v>GAP</v>
      </c>
      <c r="L9" s="4" t="str">
        <f>'CSE1'!L9</f>
        <v>9.08 LPA</v>
      </c>
      <c r="M9" s="4" t="str">
        <f>'CSE1'!M9</f>
        <v/>
      </c>
      <c r="N9" s="4" t="str">
        <f>'CSE1'!N9</f>
        <v/>
      </c>
      <c r="O9" s="4" t="str">
        <f>'CSE1'!O9</f>
        <v/>
      </c>
      <c r="P9" s="4" t="str">
        <f>'CSE1'!P9</f>
        <v/>
      </c>
      <c r="Q9" s="4" t="str">
        <f>'CSE1'!Q9</f>
        <v/>
      </c>
      <c r="R9" s="4" t="str">
        <f>'CSE1'!R9</f>
        <v/>
      </c>
      <c r="S9" s="4" t="str">
        <f>'CSE1'!S9</f>
        <v/>
      </c>
      <c r="T9" s="4" t="str">
        <f>'CSE1'!T9</f>
        <v/>
      </c>
      <c r="U9" s="4" t="str">
        <f>'CSE1'!U9</f>
        <v/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4">
        <v>9.0</v>
      </c>
      <c r="B10" s="4">
        <f>'CSE1'!B10</f>
        <v>160118733009</v>
      </c>
      <c r="C10" s="4" t="str">
        <f>'CSE1'!C10</f>
        <v>RATHOD MAHESHWARI</v>
      </c>
      <c r="D10" s="5" t="str">
        <f>'CSE1'!D10</f>
        <v/>
      </c>
      <c r="E10" s="4" t="str">
        <f>'CSE1'!E10</f>
        <v/>
      </c>
      <c r="F10" s="4" t="str">
        <f>'CSE1'!F10</f>
        <v/>
      </c>
      <c r="G10" s="4" t="str">
        <f>'CSE1'!G10</f>
        <v/>
      </c>
      <c r="H10" s="4" t="str">
        <f>'CSE1'!H10</f>
        <v/>
      </c>
      <c r="I10" s="4" t="str">
        <f>'CSE1'!I10</f>
        <v/>
      </c>
      <c r="J10" s="4" t="str">
        <f>'CSE1'!J10</f>
        <v/>
      </c>
      <c r="K10" s="4" t="str">
        <f>'CSE1'!K10</f>
        <v/>
      </c>
      <c r="L10" s="4" t="str">
        <f>'CSE1'!L10</f>
        <v/>
      </c>
      <c r="M10" s="4" t="str">
        <f>'CSE1'!M10</f>
        <v/>
      </c>
      <c r="N10" s="4" t="str">
        <f>'CSE1'!N10</f>
        <v/>
      </c>
      <c r="O10" s="4" t="str">
        <f>'CSE1'!O10</f>
        <v/>
      </c>
      <c r="P10" s="4" t="str">
        <f>'CSE1'!P10</f>
        <v/>
      </c>
      <c r="Q10" s="4" t="str">
        <f>'CSE1'!Q10</f>
        <v/>
      </c>
      <c r="R10" s="4" t="str">
        <f>'CSE1'!R10</f>
        <v/>
      </c>
      <c r="S10" s="4" t="str">
        <f>'CSE1'!S10</f>
        <v/>
      </c>
      <c r="T10" s="4" t="str">
        <f>'CSE1'!T10</f>
        <v/>
      </c>
      <c r="U10" s="4" t="str">
        <f>'CSE1'!U10</f>
        <v/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4">
        <v>10.0</v>
      </c>
      <c r="B11" s="4">
        <f>'CSE1'!B11</f>
        <v>160118733010</v>
      </c>
      <c r="C11" s="4" t="str">
        <f>'CSE1'!C11</f>
        <v>Katta Naga Shivani Reddy</v>
      </c>
      <c r="D11" s="5" t="str">
        <f>'CSE1'!D11</f>
        <v>YES</v>
      </c>
      <c r="E11" s="4" t="str">
        <f>'CSE1'!E11</f>
        <v>JPMC </v>
      </c>
      <c r="F11" s="4" t="str">
        <f>'CSE1'!F11</f>
        <v>14 LPA</v>
      </c>
      <c r="G11" s="4" t="str">
        <f>'CSE1'!G11</f>
        <v/>
      </c>
      <c r="H11" s="4" t="str">
        <f>'CSE1'!H11</f>
        <v/>
      </c>
      <c r="I11" s="4" t="str">
        <f>'CSE1'!I11</f>
        <v/>
      </c>
      <c r="J11" s="4" t="str">
        <f>'CSE1'!J11</f>
        <v/>
      </c>
      <c r="K11" s="4" t="str">
        <f>'CSE1'!K11</f>
        <v/>
      </c>
      <c r="L11" s="4" t="str">
        <f>'CSE1'!L11</f>
        <v/>
      </c>
      <c r="M11" s="4" t="str">
        <f>'CSE1'!M11</f>
        <v/>
      </c>
      <c r="N11" s="4" t="str">
        <f>'CSE1'!N11</f>
        <v/>
      </c>
      <c r="O11" s="4" t="str">
        <f>'CSE1'!O11</f>
        <v/>
      </c>
      <c r="P11" s="4" t="str">
        <f>'CSE1'!P11</f>
        <v/>
      </c>
      <c r="Q11" s="4" t="str">
        <f>'CSE1'!Q11</f>
        <v/>
      </c>
      <c r="R11" s="4" t="str">
        <f>'CSE1'!R11</f>
        <v/>
      </c>
      <c r="S11" s="4" t="str">
        <f>'CSE1'!S11</f>
        <v/>
      </c>
      <c r="T11" s="4" t="str">
        <f>'CSE1'!T11</f>
        <v/>
      </c>
      <c r="U11" s="4" t="str">
        <f>'CSE1'!U11</f>
        <v/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4">
        <v>11.0</v>
      </c>
      <c r="B12" s="4">
        <f>'CSE1'!B12</f>
        <v>160118733011</v>
      </c>
      <c r="C12" s="4" t="str">
        <f>'CSE1'!C12</f>
        <v>Sai Annanya Sree Vedala</v>
      </c>
      <c r="D12" s="5" t="str">
        <f>'CSE1'!D12</f>
        <v>YES</v>
      </c>
      <c r="E12" s="4" t="str">
        <f>'CSE1'!E12</f>
        <v>JPMC (PPO)</v>
      </c>
      <c r="F12" s="4" t="str">
        <f>'CSE1'!F12</f>
        <v>14 LPA</v>
      </c>
      <c r="G12" s="4" t="str">
        <f>'CSE1'!G12</f>
        <v/>
      </c>
      <c r="H12" s="4" t="str">
        <f>'CSE1'!H12</f>
        <v/>
      </c>
      <c r="I12" s="4" t="str">
        <f>'CSE1'!I12</f>
        <v/>
      </c>
      <c r="J12" s="4" t="str">
        <f>'CSE1'!J12</f>
        <v/>
      </c>
      <c r="K12" s="4" t="str">
        <f>'CSE1'!K12</f>
        <v/>
      </c>
      <c r="L12" s="4" t="str">
        <f>'CSE1'!L12</f>
        <v/>
      </c>
      <c r="M12" s="4" t="str">
        <f>'CSE1'!M12</f>
        <v/>
      </c>
      <c r="N12" s="4" t="str">
        <f>'CSE1'!N12</f>
        <v/>
      </c>
      <c r="O12" s="4" t="str">
        <f>'CSE1'!O12</f>
        <v/>
      </c>
      <c r="P12" s="4" t="str">
        <f>'CSE1'!P12</f>
        <v/>
      </c>
      <c r="Q12" s="4" t="str">
        <f>'CSE1'!Q12</f>
        <v/>
      </c>
      <c r="R12" s="4" t="str">
        <f>'CSE1'!R12</f>
        <v/>
      </c>
      <c r="S12" s="4" t="str">
        <f>'CSE1'!S12</f>
        <v/>
      </c>
      <c r="T12" s="4" t="str">
        <f>'CSE1'!T12</f>
        <v/>
      </c>
      <c r="U12" s="4" t="str">
        <f>'CSE1'!U12</f>
        <v/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4">
        <v>12.0</v>
      </c>
      <c r="B13" s="4">
        <f>'CSE1'!B13</f>
        <v>160118733012</v>
      </c>
      <c r="C13" s="4" t="str">
        <f>'CSE1'!C13</f>
        <v>Sai Prathyusha G</v>
      </c>
      <c r="D13" s="5" t="str">
        <f>'CSE1'!D13</f>
        <v>YES</v>
      </c>
      <c r="E13" s="4" t="str">
        <f>'CSE1'!E13</f>
        <v>JPMC (PPO)</v>
      </c>
      <c r="F13" s="4" t="str">
        <f>'CSE1'!F13</f>
        <v>14 LPA</v>
      </c>
      <c r="G13" s="4" t="str">
        <f>'CSE1'!G13</f>
        <v>F5 Inc</v>
      </c>
      <c r="H13" s="4" t="str">
        <f>'CSE1'!H13</f>
        <v>23 LPA</v>
      </c>
      <c r="I13" s="4" t="str">
        <f>'CSE1'!I13</f>
        <v/>
      </c>
      <c r="J13" s="4" t="str">
        <f>'CSE1'!J13</f>
        <v/>
      </c>
      <c r="K13" s="4" t="str">
        <f>'CSE1'!K13</f>
        <v/>
      </c>
      <c r="L13" s="4" t="str">
        <f>'CSE1'!L13</f>
        <v/>
      </c>
      <c r="M13" s="4" t="str">
        <f>'CSE1'!M13</f>
        <v/>
      </c>
      <c r="N13" s="4" t="str">
        <f>'CSE1'!N13</f>
        <v/>
      </c>
      <c r="O13" s="4" t="str">
        <f>'CSE1'!O13</f>
        <v/>
      </c>
      <c r="P13" s="4" t="str">
        <f>'CSE1'!P13</f>
        <v/>
      </c>
      <c r="Q13" s="4" t="str">
        <f>'CSE1'!Q13</f>
        <v/>
      </c>
      <c r="R13" s="4" t="str">
        <f>'CSE1'!R13</f>
        <v/>
      </c>
      <c r="S13" s="4" t="str">
        <f>'CSE1'!S13</f>
        <v/>
      </c>
      <c r="T13" s="4" t="str">
        <f>'CSE1'!T13</f>
        <v/>
      </c>
      <c r="U13" s="4" t="str">
        <f>'CSE1'!U13</f>
        <v/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4">
        <v>13.0</v>
      </c>
      <c r="B14" s="4">
        <f>'CSE1'!B14</f>
        <v>160118733013</v>
      </c>
      <c r="C14" s="4" t="str">
        <f>'CSE1'!C14</f>
        <v>Sai sanjana reddy Vatte</v>
      </c>
      <c r="D14" s="5" t="str">
        <f>'CSE1'!D14</f>
        <v/>
      </c>
      <c r="E14" s="4" t="str">
        <f>'CSE1'!E14</f>
        <v/>
      </c>
      <c r="F14" s="4" t="str">
        <f>'CSE1'!F14</f>
        <v/>
      </c>
      <c r="G14" s="4" t="str">
        <f>'CSE1'!G14</f>
        <v/>
      </c>
      <c r="H14" s="4" t="str">
        <f>'CSE1'!H14</f>
        <v/>
      </c>
      <c r="I14" s="4" t="str">
        <f>'CSE1'!I14</f>
        <v/>
      </c>
      <c r="J14" s="4" t="str">
        <f>'CSE1'!J14</f>
        <v/>
      </c>
      <c r="K14" s="4" t="str">
        <f>'CSE1'!K14</f>
        <v/>
      </c>
      <c r="L14" s="4" t="str">
        <f>'CSE1'!L14</f>
        <v/>
      </c>
      <c r="M14" s="4" t="str">
        <f>'CSE1'!M14</f>
        <v/>
      </c>
      <c r="N14" s="4" t="str">
        <f>'CSE1'!N14</f>
        <v/>
      </c>
      <c r="O14" s="4" t="str">
        <f>'CSE1'!O14</f>
        <v/>
      </c>
      <c r="P14" s="4" t="str">
        <f>'CSE1'!P14</f>
        <v/>
      </c>
      <c r="Q14" s="4" t="str">
        <f>'CSE1'!Q14</f>
        <v/>
      </c>
      <c r="R14" s="4" t="str">
        <f>'CSE1'!R14</f>
        <v/>
      </c>
      <c r="S14" s="4" t="str">
        <f>'CSE1'!S14</f>
        <v/>
      </c>
      <c r="T14" s="4" t="str">
        <f>'CSE1'!T14</f>
        <v/>
      </c>
      <c r="U14" s="4" t="str">
        <f>'CSE1'!U14</f>
        <v/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4">
        <v>14.0</v>
      </c>
      <c r="B15" s="4">
        <f>'CSE1'!B15</f>
        <v>160118733014</v>
      </c>
      <c r="C15" s="4" t="str">
        <f>'CSE1'!C15</f>
        <v>Sirnam Sanjana</v>
      </c>
      <c r="D15" s="5" t="str">
        <f>'CSE1'!D15</f>
        <v>YES</v>
      </c>
      <c r="E15" s="4" t="str">
        <f>'CSE1'!E15</f>
        <v>JPMC </v>
      </c>
      <c r="F15" s="4" t="str">
        <f>'CSE1'!F15</f>
        <v>14 LPA</v>
      </c>
      <c r="G15" s="4" t="str">
        <f>'CSE1'!G15</f>
        <v>Deloitte (Tax PPO)</v>
      </c>
      <c r="H15" s="4" t="str">
        <f>'CSE1'!H15</f>
        <v>7.6 LPA</v>
      </c>
      <c r="I15" s="4" t="str">
        <f>'CSE1'!I15</f>
        <v>F5 Inc</v>
      </c>
      <c r="J15" s="4" t="s">
        <v>14</v>
      </c>
      <c r="K15" s="4" t="str">
        <f>'CSE1'!K15</f>
        <v/>
      </c>
      <c r="L15" s="4" t="str">
        <f>'CSE1'!L15</f>
        <v/>
      </c>
      <c r="M15" s="4" t="str">
        <f>'CSE1'!M15</f>
        <v/>
      </c>
      <c r="N15" s="4" t="str">
        <f>'CSE1'!N15</f>
        <v/>
      </c>
      <c r="O15" s="4" t="str">
        <f>'CSE1'!O15</f>
        <v/>
      </c>
      <c r="P15" s="4" t="str">
        <f>'CSE1'!P15</f>
        <v/>
      </c>
      <c r="Q15" s="4" t="str">
        <f>'CSE1'!Q15</f>
        <v/>
      </c>
      <c r="R15" s="4" t="str">
        <f>'CSE1'!R15</f>
        <v/>
      </c>
      <c r="S15" s="4" t="str">
        <f>'CSE1'!S15</f>
        <v/>
      </c>
      <c r="T15" s="4" t="str">
        <f>'CSE1'!T15</f>
        <v/>
      </c>
      <c r="U15" s="4" t="str">
        <f>'CSE1'!U15</f>
        <v/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4">
        <v>15.0</v>
      </c>
      <c r="B16" s="4">
        <f>'CSE1'!B16</f>
        <v>160118733015</v>
      </c>
      <c r="C16" s="4" t="str">
        <f>'CSE1'!C16</f>
        <v>Sanjana Varma Mudunuri</v>
      </c>
      <c r="D16" s="5" t="str">
        <f>'CSE1'!D16</f>
        <v/>
      </c>
      <c r="E16" s="4" t="str">
        <f>'CSE1'!E16</f>
        <v/>
      </c>
      <c r="F16" s="4" t="str">
        <f>'CSE1'!F16</f>
        <v/>
      </c>
      <c r="G16" s="4" t="str">
        <f>'CSE1'!G16</f>
        <v/>
      </c>
      <c r="H16" s="4" t="str">
        <f>'CSE1'!H16</f>
        <v/>
      </c>
      <c r="I16" s="4" t="str">
        <f>'CSE1'!I16</f>
        <v/>
      </c>
      <c r="J16" s="4" t="str">
        <f>'CSE1'!J16</f>
        <v/>
      </c>
      <c r="K16" s="4" t="str">
        <f>'CSE1'!K16</f>
        <v/>
      </c>
      <c r="L16" s="4" t="str">
        <f>'CSE1'!L16</f>
        <v/>
      </c>
      <c r="M16" s="4" t="str">
        <f>'CSE1'!M16</f>
        <v/>
      </c>
      <c r="N16" s="4" t="str">
        <f>'CSE1'!N16</f>
        <v/>
      </c>
      <c r="O16" s="4" t="str">
        <f>'CSE1'!O16</f>
        <v/>
      </c>
      <c r="P16" s="4" t="str">
        <f>'CSE1'!P16</f>
        <v/>
      </c>
      <c r="Q16" s="4" t="str">
        <f>'CSE1'!Q16</f>
        <v/>
      </c>
      <c r="R16" s="4" t="str">
        <f>'CSE1'!R16</f>
        <v/>
      </c>
      <c r="S16" s="4" t="str">
        <f>'CSE1'!S16</f>
        <v/>
      </c>
      <c r="T16" s="4" t="str">
        <f>'CSE1'!T16</f>
        <v/>
      </c>
      <c r="U16" s="4" t="str">
        <f>'CSE1'!U16</f>
        <v/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4">
        <v>16.0</v>
      </c>
      <c r="B17" s="4">
        <f>'CSE1'!B17</f>
        <v>160118733016</v>
      </c>
      <c r="C17" s="4" t="str">
        <f>'CSE1'!C17</f>
        <v>Sathvika Balabhadra</v>
      </c>
      <c r="D17" s="5" t="str">
        <f>'CSE1'!D17</f>
        <v>YES</v>
      </c>
      <c r="E17" s="4" t="str">
        <f>'CSE1'!E17</f>
        <v>Accenture (ASE)</v>
      </c>
      <c r="F17" s="4" t="str">
        <f>'CSE1'!F17</f>
        <v>4.5 LPA</v>
      </c>
      <c r="G17" s="4" t="str">
        <f>'CSE1'!G17</f>
        <v>Cognizant GenC</v>
      </c>
      <c r="H17" s="4" t="str">
        <f>'CSE1'!H17</f>
        <v>4 LPA</v>
      </c>
      <c r="I17" s="4" t="str">
        <f>'CSE1'!I17</f>
        <v/>
      </c>
      <c r="J17" s="4" t="str">
        <f>'CSE1'!J17</f>
        <v/>
      </c>
      <c r="K17" s="4" t="str">
        <f>'CSE1'!K17</f>
        <v/>
      </c>
      <c r="L17" s="4" t="str">
        <f>'CSE1'!L17</f>
        <v/>
      </c>
      <c r="M17" s="4" t="str">
        <f>'CSE1'!M17</f>
        <v/>
      </c>
      <c r="N17" s="4" t="str">
        <f>'CSE1'!N17</f>
        <v/>
      </c>
      <c r="O17" s="4" t="str">
        <f>'CSE1'!O17</f>
        <v/>
      </c>
      <c r="P17" s="4" t="str">
        <f>'CSE1'!P17</f>
        <v/>
      </c>
      <c r="Q17" s="4" t="str">
        <f>'CSE1'!Q17</f>
        <v/>
      </c>
      <c r="R17" s="4" t="str">
        <f>'CSE1'!R17</f>
        <v/>
      </c>
      <c r="S17" s="4" t="str">
        <f>'CSE1'!S17</f>
        <v/>
      </c>
      <c r="T17" s="4" t="str">
        <f>'CSE1'!T17</f>
        <v/>
      </c>
      <c r="U17" s="4" t="str">
        <f>'CSE1'!U17</f>
        <v/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4">
        <v>17.0</v>
      </c>
      <c r="B18" s="4">
        <f>'CSE1'!B18</f>
        <v>160118733017</v>
      </c>
      <c r="C18" s="4" t="str">
        <f>'CSE1'!C18</f>
        <v>Sheetal rao</v>
      </c>
      <c r="D18" s="5" t="str">
        <f>'CSE1'!D18</f>
        <v/>
      </c>
      <c r="E18" s="4" t="str">
        <f>'CSE1'!E18</f>
        <v>DBS</v>
      </c>
      <c r="F18" s="4" t="str">
        <f>'CSE1'!F18</f>
        <v>8.5 LPA</v>
      </c>
      <c r="G18" s="4" t="str">
        <f>'CSE1'!G18</f>
        <v/>
      </c>
      <c r="H18" s="4" t="str">
        <f>'CSE1'!H18</f>
        <v/>
      </c>
      <c r="I18" s="4" t="str">
        <f>'CSE1'!I18</f>
        <v/>
      </c>
      <c r="J18" s="4" t="str">
        <f>'CSE1'!J18</f>
        <v/>
      </c>
      <c r="K18" s="4" t="str">
        <f>'CSE1'!K18</f>
        <v/>
      </c>
      <c r="L18" s="4" t="str">
        <f>'CSE1'!L18</f>
        <v/>
      </c>
      <c r="M18" s="4" t="str">
        <f>'CSE1'!M18</f>
        <v/>
      </c>
      <c r="N18" s="4" t="str">
        <f>'CSE1'!N18</f>
        <v/>
      </c>
      <c r="O18" s="4" t="str">
        <f>'CSE1'!O18</f>
        <v/>
      </c>
      <c r="P18" s="4" t="str">
        <f>'CSE1'!P18</f>
        <v/>
      </c>
      <c r="Q18" s="4" t="str">
        <f>'CSE1'!Q18</f>
        <v/>
      </c>
      <c r="R18" s="4" t="str">
        <f>'CSE1'!R18</f>
        <v/>
      </c>
      <c r="S18" s="4" t="str">
        <f>'CSE1'!S18</f>
        <v/>
      </c>
      <c r="T18" s="4" t="str">
        <f>'CSE1'!T18</f>
        <v/>
      </c>
      <c r="U18" s="4" t="str">
        <f>'CSE1'!U18</f>
        <v/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4">
        <v>18.0</v>
      </c>
      <c r="B19" s="4">
        <f>'CSE1'!B19</f>
        <v>160118733018</v>
      </c>
      <c r="C19" s="4" t="str">
        <f>'CSE1'!C19</f>
        <v>Shreya Maramreddy</v>
      </c>
      <c r="D19" s="5" t="str">
        <f>'CSE1'!D19</f>
        <v/>
      </c>
      <c r="E19" s="4" t="str">
        <f>'CSE1'!E19</f>
        <v/>
      </c>
      <c r="F19" s="4" t="str">
        <f>'CSE1'!F19</f>
        <v/>
      </c>
      <c r="G19" s="4" t="str">
        <f>'CSE1'!G19</f>
        <v/>
      </c>
      <c r="H19" s="4" t="str">
        <f>'CSE1'!H19</f>
        <v/>
      </c>
      <c r="I19" s="4" t="str">
        <f>'CSE1'!I19</f>
        <v/>
      </c>
      <c r="J19" s="4" t="str">
        <f>'CSE1'!J19</f>
        <v/>
      </c>
      <c r="K19" s="4" t="str">
        <f>'CSE1'!K19</f>
        <v/>
      </c>
      <c r="L19" s="4" t="str">
        <f>'CSE1'!L19</f>
        <v/>
      </c>
      <c r="M19" s="4" t="str">
        <f>'CSE1'!M19</f>
        <v/>
      </c>
      <c r="N19" s="4" t="str">
        <f>'CSE1'!N19</f>
        <v/>
      </c>
      <c r="O19" s="4" t="str">
        <f>'CSE1'!O19</f>
        <v/>
      </c>
      <c r="P19" s="4" t="str">
        <f>'CSE1'!P19</f>
        <v/>
      </c>
      <c r="Q19" s="4" t="str">
        <f>'CSE1'!Q19</f>
        <v/>
      </c>
      <c r="R19" s="4" t="str">
        <f>'CSE1'!R19</f>
        <v/>
      </c>
      <c r="S19" s="4" t="str">
        <f>'CSE1'!S19</f>
        <v/>
      </c>
      <c r="T19" s="4" t="str">
        <f>'CSE1'!T19</f>
        <v/>
      </c>
      <c r="U19" s="4" t="str">
        <f>'CSE1'!U19</f>
        <v/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4">
        <v>19.0</v>
      </c>
      <c r="B20" s="4">
        <f>'CSE1'!B20</f>
        <v>160118733019</v>
      </c>
      <c r="C20" s="4" t="str">
        <f>'CSE1'!C20</f>
        <v>Sudeeshna Deva</v>
      </c>
      <c r="D20" s="5" t="str">
        <f>'CSE1'!D20</f>
        <v>YES</v>
      </c>
      <c r="E20" s="4" t="str">
        <f>'CSE1'!E20</f>
        <v>LTI (Level 3)</v>
      </c>
      <c r="F20" s="4" t="str">
        <f>'CSE1'!F20</f>
        <v>8 LPA</v>
      </c>
      <c r="G20" s="4" t="str">
        <f>'CSE1'!G20</f>
        <v>Accenture (ASE)</v>
      </c>
      <c r="H20" s="4" t="str">
        <f>'CSE1'!H20</f>
        <v>4.5 LPA</v>
      </c>
      <c r="I20" s="4" t="str">
        <f>'CSE1'!I20</f>
        <v>Cognizant GenC Elevate</v>
      </c>
      <c r="J20" s="4" t="str">
        <f>'CSE1'!J20</f>
        <v>4 LPA</v>
      </c>
      <c r="K20" s="4" t="str">
        <f>'CSE1'!K20</f>
        <v>Amazon (Internship)</v>
      </c>
      <c r="L20" s="4" t="str">
        <f>'CSE1'!L20</f>
        <v>50k</v>
      </c>
      <c r="M20" s="4" t="str">
        <f>'CSE1'!M20</f>
        <v>Samsung (job)</v>
      </c>
      <c r="N20" s="4" t="str">
        <f>'CSE1'!N20</f>
        <v>14.5 LPA</v>
      </c>
      <c r="O20" s="4" t="str">
        <f>'CSE1'!O20</f>
        <v/>
      </c>
      <c r="P20" s="4" t="str">
        <f>'CSE1'!P20</f>
        <v/>
      </c>
      <c r="Q20" s="4" t="str">
        <f>'CSE1'!Q20</f>
        <v/>
      </c>
      <c r="R20" s="4" t="str">
        <f>'CSE1'!R20</f>
        <v/>
      </c>
      <c r="S20" s="4" t="str">
        <f>'CSE1'!S20</f>
        <v/>
      </c>
      <c r="T20" s="4" t="str">
        <f>'CSE1'!T20</f>
        <v/>
      </c>
      <c r="U20" s="4" t="str">
        <f>'CSE1'!U20</f>
        <v/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4">
        <v>20.0</v>
      </c>
      <c r="B21" s="4">
        <f>'CSE1'!B21</f>
        <v>160118733020</v>
      </c>
      <c r="C21" s="4" t="str">
        <f>'CSE1'!C21</f>
        <v>Mankala Sukritha</v>
      </c>
      <c r="D21" s="5" t="str">
        <f>'CSE1'!D21</f>
        <v/>
      </c>
      <c r="E21" s="4" t="str">
        <f>'CSE1'!E21</f>
        <v>SalesForce</v>
      </c>
      <c r="F21" s="4" t="str">
        <f>'CSE1'!F21</f>
        <v>19.65 LPA</v>
      </c>
      <c r="G21" s="4" t="str">
        <f>'CSE1'!G21</f>
        <v/>
      </c>
      <c r="H21" s="4" t="str">
        <f>'CSE1'!H21</f>
        <v/>
      </c>
      <c r="I21" s="4" t="str">
        <f>'CSE1'!I21</f>
        <v/>
      </c>
      <c r="J21" s="4" t="str">
        <f>'CSE1'!J21</f>
        <v/>
      </c>
      <c r="K21" s="4" t="str">
        <f>'CSE1'!K21</f>
        <v/>
      </c>
      <c r="L21" s="4" t="str">
        <f>'CSE1'!L21</f>
        <v/>
      </c>
      <c r="M21" s="4" t="str">
        <f>'CSE1'!M21</f>
        <v/>
      </c>
      <c r="N21" s="4" t="str">
        <f>'CSE1'!N21</f>
        <v/>
      </c>
      <c r="O21" s="4" t="str">
        <f>'CSE1'!O21</f>
        <v/>
      </c>
      <c r="P21" s="4" t="str">
        <f>'CSE1'!P21</f>
        <v/>
      </c>
      <c r="Q21" s="4" t="str">
        <f>'CSE1'!Q21</f>
        <v/>
      </c>
      <c r="R21" s="4" t="str">
        <f>'CSE1'!R21</f>
        <v/>
      </c>
      <c r="S21" s="4" t="str">
        <f>'CSE1'!S21</f>
        <v/>
      </c>
      <c r="T21" s="4" t="str">
        <f>'CSE1'!T21</f>
        <v/>
      </c>
      <c r="U21" s="4" t="str">
        <f>'CSE1'!U21</f>
        <v/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4">
        <v>21.0</v>
      </c>
      <c r="B22" s="4">
        <f>'CSE1'!B22</f>
        <v>160118733021</v>
      </c>
      <c r="C22" s="4" t="str">
        <f>'CSE1'!C22</f>
        <v>Dara Supriya</v>
      </c>
      <c r="D22" s="5" t="str">
        <f>'CSE1'!D22</f>
        <v/>
      </c>
      <c r="E22" s="4" t="str">
        <f>'CSE1'!E22</f>
        <v>Deloitte (Consulting)</v>
      </c>
      <c r="F22" s="4" t="str">
        <f>'CSE1'!F22</f>
        <v>7.6 LPA</v>
      </c>
      <c r="G22" s="4" t="str">
        <f>'CSE1'!G22</f>
        <v/>
      </c>
      <c r="H22" s="4" t="str">
        <f>'CSE1'!H22</f>
        <v/>
      </c>
      <c r="I22" s="4" t="str">
        <f>'CSE1'!I22</f>
        <v/>
      </c>
      <c r="J22" s="4" t="str">
        <f>'CSE1'!J22</f>
        <v/>
      </c>
      <c r="K22" s="4" t="str">
        <f>'CSE1'!K22</f>
        <v/>
      </c>
      <c r="L22" s="4" t="str">
        <f>'CSE1'!L22</f>
        <v/>
      </c>
      <c r="M22" s="4" t="str">
        <f>'CSE1'!M22</f>
        <v/>
      </c>
      <c r="N22" s="4" t="str">
        <f>'CSE1'!N22</f>
        <v/>
      </c>
      <c r="O22" s="4" t="str">
        <f>'CSE1'!O22</f>
        <v/>
      </c>
      <c r="P22" s="4" t="str">
        <f>'CSE1'!P22</f>
        <v/>
      </c>
      <c r="Q22" s="4" t="str">
        <f>'CSE1'!Q22</f>
        <v/>
      </c>
      <c r="R22" s="4" t="str">
        <f>'CSE1'!R22</f>
        <v/>
      </c>
      <c r="S22" s="4" t="str">
        <f>'CSE1'!S22</f>
        <v/>
      </c>
      <c r="T22" s="4" t="str">
        <f>'CSE1'!T22</f>
        <v/>
      </c>
      <c r="U22" s="4" t="str">
        <f>'CSE1'!U22</f>
        <v/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4">
        <v>22.0</v>
      </c>
      <c r="B23" s="4">
        <f>'CSE1'!B23</f>
        <v>160118733022</v>
      </c>
      <c r="C23" s="4" t="str">
        <f>'CSE1'!C23</f>
        <v>Supriya Kaluri</v>
      </c>
      <c r="D23" s="5" t="str">
        <f>'CSE1'!D23</f>
        <v>YES</v>
      </c>
      <c r="E23" s="4" t="str">
        <f>'CSE1'!E23</f>
        <v>LTI (Level 2)</v>
      </c>
      <c r="F23" s="4" t="str">
        <f>'CSE1'!F23</f>
        <v>6.5 LPA</v>
      </c>
      <c r="G23" s="4" t="str">
        <f>'CSE1'!G23</f>
        <v>Accenture (ASE)</v>
      </c>
      <c r="H23" s="4" t="str">
        <f>'CSE1'!H23</f>
        <v>4.5 LPA</v>
      </c>
      <c r="I23" s="4" t="str">
        <f>'CSE1'!I23</f>
        <v>Amazon (Internship)</v>
      </c>
      <c r="J23" s="4" t="str">
        <f>'CSE1'!J23</f>
        <v>50k</v>
      </c>
      <c r="K23" s="4" t="str">
        <f>'CSE1'!K23</f>
        <v>Wipro</v>
      </c>
      <c r="L23" s="4" t="str">
        <f>'CSE1'!L23</f>
        <v>3.5 LPA</v>
      </c>
      <c r="M23" s="4" t="str">
        <f>'CSE1'!M23</f>
        <v/>
      </c>
      <c r="N23" s="4" t="str">
        <f>'CSE1'!N23</f>
        <v/>
      </c>
      <c r="O23" s="4" t="str">
        <f>'CSE1'!O23</f>
        <v/>
      </c>
      <c r="P23" s="4" t="str">
        <f>'CSE1'!P23</f>
        <v/>
      </c>
      <c r="Q23" s="4" t="str">
        <f>'CSE1'!Q23</f>
        <v/>
      </c>
      <c r="R23" s="4" t="str">
        <f>'CSE1'!R23</f>
        <v/>
      </c>
      <c r="S23" s="4" t="str">
        <f>'CSE1'!S23</f>
        <v/>
      </c>
      <c r="T23" s="4" t="str">
        <f>'CSE1'!T23</f>
        <v/>
      </c>
      <c r="U23" s="4" t="str">
        <f>'CSE1'!U23</f>
        <v/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4">
        <v>23.0</v>
      </c>
      <c r="B24" s="4">
        <f>'CSE1'!B24</f>
        <v>160118733023</v>
      </c>
      <c r="C24" s="4" t="str">
        <f>'CSE1'!C24</f>
        <v>Sushma M</v>
      </c>
      <c r="D24" s="5" t="str">
        <f>'CSE1'!D24</f>
        <v/>
      </c>
      <c r="E24" s="4" t="str">
        <f>'CSE1'!E24</f>
        <v>Deloitte (Consulting)</v>
      </c>
      <c r="F24" s="4" t="str">
        <f>'CSE1'!F24</f>
        <v>7.6 LPA</v>
      </c>
      <c r="G24" s="4" t="str">
        <f>'CSE1'!G24</f>
        <v/>
      </c>
      <c r="H24" s="4" t="str">
        <f>'CSE1'!H24</f>
        <v/>
      </c>
      <c r="I24" s="4" t="str">
        <f>'CSE1'!I24</f>
        <v/>
      </c>
      <c r="J24" s="4" t="str">
        <f>'CSE1'!J24</f>
        <v/>
      </c>
      <c r="K24" s="4" t="str">
        <f>'CSE1'!K24</f>
        <v/>
      </c>
      <c r="L24" s="4" t="str">
        <f>'CSE1'!L24</f>
        <v/>
      </c>
      <c r="M24" s="4" t="str">
        <f>'CSE1'!M24</f>
        <v/>
      </c>
      <c r="N24" s="4" t="str">
        <f>'CSE1'!N24</f>
        <v/>
      </c>
      <c r="O24" s="4" t="str">
        <f>'CSE1'!O24</f>
        <v/>
      </c>
      <c r="P24" s="4" t="str">
        <f>'CSE1'!P24</f>
        <v/>
      </c>
      <c r="Q24" s="4" t="str">
        <f>'CSE1'!Q24</f>
        <v/>
      </c>
      <c r="R24" s="4" t="str">
        <f>'CSE1'!R24</f>
        <v/>
      </c>
      <c r="S24" s="4" t="str">
        <f>'CSE1'!S24</f>
        <v/>
      </c>
      <c r="T24" s="4" t="str">
        <f>'CSE1'!T24</f>
        <v/>
      </c>
      <c r="U24" s="4" t="str">
        <f>'CSE1'!U24</f>
        <v/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4">
        <v>24.0</v>
      </c>
      <c r="B25" s="4">
        <f>'CSE1'!B25</f>
        <v>160118733024</v>
      </c>
      <c r="C25" s="4" t="str">
        <f>'CSE1'!C25</f>
        <v>Mohammed Abdul Muhaymin</v>
      </c>
      <c r="D25" s="5" t="str">
        <f>'CSE1'!D25</f>
        <v/>
      </c>
      <c r="E25" s="4" t="str">
        <f>'CSE1'!E25</f>
        <v>Deloitte (Consulting)</v>
      </c>
      <c r="F25" s="4" t="str">
        <f>'CSE1'!F25</f>
        <v>7.6 LPA</v>
      </c>
      <c r="G25" s="4" t="str">
        <f>'CSE1'!G25</f>
        <v/>
      </c>
      <c r="H25" s="4" t="str">
        <f>'CSE1'!H25</f>
        <v/>
      </c>
      <c r="I25" s="4" t="str">
        <f>'CSE1'!I25</f>
        <v/>
      </c>
      <c r="J25" s="4" t="str">
        <f>'CSE1'!J25</f>
        <v/>
      </c>
      <c r="K25" s="4" t="str">
        <f>'CSE1'!K25</f>
        <v/>
      </c>
      <c r="L25" s="4" t="str">
        <f>'CSE1'!L25</f>
        <v/>
      </c>
      <c r="M25" s="4" t="str">
        <f>'CSE1'!M25</f>
        <v/>
      </c>
      <c r="N25" s="4" t="str">
        <f>'CSE1'!N25</f>
        <v/>
      </c>
      <c r="O25" s="4" t="str">
        <f>'CSE1'!O25</f>
        <v/>
      </c>
      <c r="P25" s="4" t="str">
        <f>'CSE1'!P25</f>
        <v/>
      </c>
      <c r="Q25" s="4" t="str">
        <f>'CSE1'!Q25</f>
        <v/>
      </c>
      <c r="R25" s="4" t="str">
        <f>'CSE1'!R25</f>
        <v/>
      </c>
      <c r="S25" s="4" t="str">
        <f>'CSE1'!S25</f>
        <v/>
      </c>
      <c r="T25" s="4" t="str">
        <f>'CSE1'!T25</f>
        <v/>
      </c>
      <c r="U25" s="4" t="str">
        <f>'CSE1'!U25</f>
        <v/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4">
        <v>25.0</v>
      </c>
      <c r="B26" s="4">
        <f>'CSE1'!B26</f>
        <v>160118733025</v>
      </c>
      <c r="C26" s="4" t="str">
        <f>'CSE1'!C26</f>
        <v>Muzzammil Ahmed</v>
      </c>
      <c r="D26" s="5" t="str">
        <f>'CSE1'!D26</f>
        <v>YES</v>
      </c>
      <c r="E26" s="4" t="str">
        <f>'CSE1'!E26</f>
        <v>Cognizant GenC Next</v>
      </c>
      <c r="F26" s="4" t="str">
        <f>'CSE1'!F26</f>
        <v>6.75 LPA</v>
      </c>
      <c r="G26" s="4" t="str">
        <f>'CSE1'!G26</f>
        <v>Barclays</v>
      </c>
      <c r="H26" s="4" t="str">
        <f>'CSE1'!H26</f>
        <v>12.73 LPA</v>
      </c>
      <c r="I26" s="4" t="str">
        <f>'CSE1'!I26</f>
        <v>Infosys (SE)</v>
      </c>
      <c r="J26" s="4" t="str">
        <f>'CSE1'!J26</f>
        <v>3.6 LPA</v>
      </c>
      <c r="K26" s="4" t="str">
        <f>'CSE1'!K26</f>
        <v/>
      </c>
      <c r="L26" s="4" t="str">
        <f>'CSE1'!L26</f>
        <v/>
      </c>
      <c r="M26" s="4" t="str">
        <f>'CSE1'!M26</f>
        <v/>
      </c>
      <c r="N26" s="4" t="str">
        <f>'CSE1'!N26</f>
        <v/>
      </c>
      <c r="O26" s="4" t="str">
        <f>'CSE1'!O26</f>
        <v/>
      </c>
      <c r="P26" s="4" t="str">
        <f>'CSE1'!P26</f>
        <v/>
      </c>
      <c r="Q26" s="4" t="str">
        <f>'CSE1'!Q26</f>
        <v/>
      </c>
      <c r="R26" s="4" t="str">
        <f>'CSE1'!R26</f>
        <v/>
      </c>
      <c r="S26" s="4" t="str">
        <f>'CSE1'!S26</f>
        <v/>
      </c>
      <c r="T26" s="4" t="str">
        <f>'CSE1'!T26</f>
        <v/>
      </c>
      <c r="U26" s="4" t="str">
        <f>'CSE1'!U26</f>
        <v/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4">
        <v>26.0</v>
      </c>
      <c r="B27" s="4">
        <f>'CSE1'!B27</f>
        <v>160118733026</v>
      </c>
      <c r="C27" s="4" t="str">
        <f>'CSE1'!C27</f>
        <v>Akshay Kumar Malathkar</v>
      </c>
      <c r="D27" s="5" t="str">
        <f>'CSE1'!D27</f>
        <v>YES</v>
      </c>
      <c r="E27" s="4" t="str">
        <f>'CSE1'!E27</f>
        <v>Accelerize 360</v>
      </c>
      <c r="F27" s="4" t="str">
        <f>'CSE1'!F27</f>
        <v>7 LPA</v>
      </c>
      <c r="G27" s="4" t="str">
        <f>'CSE1'!G27</f>
        <v>Infosys (SE)</v>
      </c>
      <c r="H27" s="4" t="str">
        <f>'CSE1'!H27</f>
        <v>3.6 LPA</v>
      </c>
      <c r="I27" s="4" t="str">
        <f>'CSE1'!I27</f>
        <v>VISA</v>
      </c>
      <c r="J27" s="4" t="str">
        <f>'CSE1'!J27</f>
        <v>22.79 LPA</v>
      </c>
      <c r="K27" s="4" t="str">
        <f>'CSE1'!K27</f>
        <v/>
      </c>
      <c r="L27" s="4" t="str">
        <f>'CSE1'!L27</f>
        <v/>
      </c>
      <c r="M27" s="4" t="str">
        <f>'CSE1'!M27</f>
        <v/>
      </c>
      <c r="N27" s="4" t="str">
        <f>'CSE1'!N27</f>
        <v/>
      </c>
      <c r="O27" s="4" t="str">
        <f>'CSE1'!O27</f>
        <v/>
      </c>
      <c r="P27" s="4" t="str">
        <f>'CSE1'!P27</f>
        <v/>
      </c>
      <c r="Q27" s="4" t="str">
        <f>'CSE1'!Q27</f>
        <v/>
      </c>
      <c r="R27" s="4" t="str">
        <f>'CSE1'!R27</f>
        <v/>
      </c>
      <c r="S27" s="4" t="str">
        <f>'CSE1'!S27</f>
        <v/>
      </c>
      <c r="T27" s="4" t="str">
        <f>'CSE1'!T27</f>
        <v/>
      </c>
      <c r="U27" s="4" t="str">
        <f>'CSE1'!U27</f>
        <v/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4">
        <v>27.0</v>
      </c>
      <c r="B28" s="4">
        <f>'CSE1'!B28</f>
        <v>160118733027</v>
      </c>
      <c r="C28" s="4" t="str">
        <f>'CSE1'!C28</f>
        <v>Charan teja sabbani</v>
      </c>
      <c r="D28" s="5" t="str">
        <f>'CSE1'!D28</f>
        <v/>
      </c>
      <c r="E28" s="4" t="str">
        <f>'CSE1'!E28</f>
        <v>Incture</v>
      </c>
      <c r="F28" s="4" t="str">
        <f>'CSE1'!F28</f>
        <v>7 LPA</v>
      </c>
      <c r="G28" s="4" t="str">
        <f>'CSE1'!G28</f>
        <v>Wipro</v>
      </c>
      <c r="H28" s="4" t="str">
        <f>'CSE1'!H28</f>
        <v>3.5 LPA</v>
      </c>
      <c r="I28" s="4" t="str">
        <f>'CSE1'!I28</f>
        <v>Infosys (SE)</v>
      </c>
      <c r="J28" s="4" t="str">
        <f>'CSE1'!J28</f>
        <v>3.6 LPA</v>
      </c>
      <c r="K28" s="4" t="str">
        <f>'CSE1'!K28</f>
        <v/>
      </c>
      <c r="L28" s="4" t="str">
        <f>'CSE1'!L28</f>
        <v/>
      </c>
      <c r="M28" s="4" t="str">
        <f>'CSE1'!M28</f>
        <v/>
      </c>
      <c r="N28" s="4" t="str">
        <f>'CSE1'!N28</f>
        <v/>
      </c>
      <c r="O28" s="4" t="str">
        <f>'CSE1'!O28</f>
        <v/>
      </c>
      <c r="P28" s="4" t="str">
        <f>'CSE1'!P28</f>
        <v/>
      </c>
      <c r="Q28" s="4" t="str">
        <f>'CSE1'!Q28</f>
        <v/>
      </c>
      <c r="R28" s="4" t="str">
        <f>'CSE1'!R28</f>
        <v/>
      </c>
      <c r="S28" s="4" t="str">
        <f>'CSE1'!S28</f>
        <v/>
      </c>
      <c r="T28" s="4" t="str">
        <f>'CSE1'!T28</f>
        <v/>
      </c>
      <c r="U28" s="4" t="str">
        <f>'CSE1'!U28</f>
        <v/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4">
        <v>28.0</v>
      </c>
      <c r="B29" s="4">
        <f>'CSE1'!B29</f>
        <v>160118733028</v>
      </c>
      <c r="C29" s="4" t="str">
        <f>'CSE1'!C29</f>
        <v>Dhruvraj Tondanoorthy</v>
      </c>
      <c r="D29" s="5" t="str">
        <f>'CSE1'!D29</f>
        <v/>
      </c>
      <c r="E29" s="4" t="str">
        <f>'CSE1'!E29</f>
        <v/>
      </c>
      <c r="F29" s="4" t="str">
        <f>'CSE1'!F29</f>
        <v/>
      </c>
      <c r="G29" s="4" t="str">
        <f>'CSE1'!G29</f>
        <v/>
      </c>
      <c r="H29" s="4" t="str">
        <f>'CSE1'!H29</f>
        <v/>
      </c>
      <c r="I29" s="4" t="str">
        <f>'CSE1'!I29</f>
        <v/>
      </c>
      <c r="J29" s="4" t="str">
        <f>'CSE1'!J29</f>
        <v/>
      </c>
      <c r="K29" s="4" t="str">
        <f>'CSE1'!K29</f>
        <v/>
      </c>
      <c r="L29" s="4" t="str">
        <f>'CSE1'!L29</f>
        <v/>
      </c>
      <c r="M29" s="4" t="str">
        <f>'CSE1'!M29</f>
        <v/>
      </c>
      <c r="N29" s="4" t="str">
        <f>'CSE1'!N29</f>
        <v/>
      </c>
      <c r="O29" s="4" t="str">
        <f>'CSE1'!O29</f>
        <v/>
      </c>
      <c r="P29" s="4" t="str">
        <f>'CSE1'!P29</f>
        <v/>
      </c>
      <c r="Q29" s="4" t="str">
        <f>'CSE1'!Q29</f>
        <v/>
      </c>
      <c r="R29" s="4" t="str">
        <f>'CSE1'!R29</f>
        <v/>
      </c>
      <c r="S29" s="4" t="str">
        <f>'CSE1'!S29</f>
        <v/>
      </c>
      <c r="T29" s="4" t="str">
        <f>'CSE1'!T29</f>
        <v/>
      </c>
      <c r="U29" s="4" t="str">
        <f>'CSE1'!U29</f>
        <v/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4">
        <v>29.0</v>
      </c>
      <c r="B30" s="4">
        <f>'CSE1'!B30</f>
        <v>160118733030</v>
      </c>
      <c r="C30" s="4" t="str">
        <f>'CSE1'!C30</f>
        <v>JANAKIRAM SHARMA KASHIGARI</v>
      </c>
      <c r="D30" s="5" t="str">
        <f>'CSE1'!D30</f>
        <v>YES</v>
      </c>
      <c r="E30" s="4" t="str">
        <f>'CSE1'!E30</f>
        <v>Accenture (Adv ASE)</v>
      </c>
      <c r="F30" s="4" t="str">
        <f>'CSE1'!F30</f>
        <v>6.5 LPA</v>
      </c>
      <c r="G30" s="4" t="str">
        <f>'CSE1'!G30</f>
        <v>Capillary Technologies</v>
      </c>
      <c r="H30" s="4" t="str">
        <f>'CSE1'!H30</f>
        <v>6 LPA</v>
      </c>
      <c r="I30" s="4" t="str">
        <f>'CSE1'!I30</f>
        <v>LTI (Level 3)</v>
      </c>
      <c r="J30" s="4" t="str">
        <f>'CSE1'!J30</f>
        <v>8 LPA</v>
      </c>
      <c r="K30" s="4" t="str">
        <f>'CSE1'!K30</f>
        <v>Cognizant GenC Elevate</v>
      </c>
      <c r="L30" s="4" t="str">
        <f>'CSE1'!L30</f>
        <v>4 LPA</v>
      </c>
      <c r="M30" s="4" t="str">
        <f>'CSE1'!M30</f>
        <v>Frugal Testing</v>
      </c>
      <c r="N30" s="4" t="str">
        <f>'CSE1'!N30</f>
        <v>5 LPA</v>
      </c>
      <c r="O30" s="4" t="str">
        <f>'CSE1'!O30</f>
        <v>Infosys (SE)</v>
      </c>
      <c r="P30" s="4" t="str">
        <f>'CSE1'!P30</f>
        <v>3.6 LPA</v>
      </c>
      <c r="Q30" s="4" t="str">
        <f>'CSE1'!Q30</f>
        <v>Nutanix (Internship)</v>
      </c>
      <c r="R30" s="4" t="str">
        <f>'CSE1'!R30</f>
        <v>50k</v>
      </c>
      <c r="S30" s="4" t="str">
        <f>'CSE1'!S30</f>
        <v/>
      </c>
      <c r="T30" s="4" t="str">
        <f>'CSE1'!T30</f>
        <v/>
      </c>
      <c r="U30" s="4" t="str">
        <f>'CSE1'!U30</f>
        <v/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4">
        <v>30.0</v>
      </c>
      <c r="B31" s="4">
        <f>'CSE1'!B31</f>
        <v>160118733031</v>
      </c>
      <c r="C31" s="4" t="str">
        <f>'CSE1'!C31</f>
        <v>Nelavelli Kedarnath Rishit</v>
      </c>
      <c r="D31" s="5" t="str">
        <f>'CSE1'!D31</f>
        <v>YES</v>
      </c>
      <c r="E31" s="4" t="str">
        <f>'CSE1'!E31</f>
        <v>Accenture (ASE)</v>
      </c>
      <c r="F31" s="4" t="str">
        <f>'CSE1'!F31</f>
        <v>4.5 LPA</v>
      </c>
      <c r="G31" s="4" t="str">
        <f>'CSE1'!G31</f>
        <v>Next Education</v>
      </c>
      <c r="H31" s="4" t="str">
        <f>'CSE1'!H31</f>
        <v>6 LPA</v>
      </c>
      <c r="I31" s="4" t="str">
        <f>'CSE1'!I31</f>
        <v/>
      </c>
      <c r="J31" s="4" t="str">
        <f>'CSE1'!J31</f>
        <v/>
      </c>
      <c r="K31" s="4" t="str">
        <f>'CSE1'!K31</f>
        <v/>
      </c>
      <c r="L31" s="4" t="str">
        <f>'CSE1'!L31</f>
        <v/>
      </c>
      <c r="M31" s="4" t="str">
        <f>'CSE1'!M31</f>
        <v/>
      </c>
      <c r="N31" s="4" t="str">
        <f>'CSE1'!N31</f>
        <v/>
      </c>
      <c r="O31" s="4" t="str">
        <f>'CSE1'!O31</f>
        <v/>
      </c>
      <c r="P31" s="4" t="str">
        <f>'CSE1'!P31</f>
        <v/>
      </c>
      <c r="Q31" s="4" t="str">
        <f>'CSE1'!Q31</f>
        <v/>
      </c>
      <c r="R31" s="4" t="str">
        <f>'CSE1'!R31</f>
        <v/>
      </c>
      <c r="S31" s="4" t="str">
        <f>'CSE1'!S31</f>
        <v/>
      </c>
      <c r="T31" s="4" t="str">
        <f>'CSE1'!T31</f>
        <v/>
      </c>
      <c r="U31" s="4" t="str">
        <f>'CSE1'!U31</f>
        <v/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4">
        <v>31.0</v>
      </c>
      <c r="B32" s="4">
        <f>'CSE1'!B32</f>
        <v>160118733032</v>
      </c>
      <c r="C32" s="4" t="str">
        <f>'CSE1'!C32</f>
        <v>Narsimha Sadula</v>
      </c>
      <c r="D32" s="5" t="str">
        <f>'CSE1'!D32</f>
        <v>YES</v>
      </c>
      <c r="E32" s="4" t="str">
        <f>'CSE1'!E32</f>
        <v>Micron (EPS)</v>
      </c>
      <c r="F32" s="4" t="str">
        <f>'CSE1'!F32</f>
        <v>8.1 LPA</v>
      </c>
      <c r="G32" s="4" t="str">
        <f>'CSE1'!G32</f>
        <v>Infosys (SE)</v>
      </c>
      <c r="H32" s="4" t="str">
        <f>'CSE1'!H32</f>
        <v>3.6 LPA</v>
      </c>
      <c r="I32" s="4" t="str">
        <f>'CSE1'!I32</f>
        <v>Darwin Box (Internship)</v>
      </c>
      <c r="J32" s="4" t="str">
        <f>'CSE1'!J32</f>
        <v>25K</v>
      </c>
      <c r="K32" s="4" t="str">
        <f>'CSE1'!K32</f>
        <v/>
      </c>
      <c r="L32" s="4" t="str">
        <f>'CSE1'!L32</f>
        <v/>
      </c>
      <c r="M32" s="4" t="str">
        <f>'CSE1'!M32</f>
        <v/>
      </c>
      <c r="N32" s="4" t="str">
        <f>'CSE1'!N32</f>
        <v/>
      </c>
      <c r="O32" s="4" t="str">
        <f>'CSE1'!O32</f>
        <v/>
      </c>
      <c r="P32" s="4" t="str">
        <f>'CSE1'!P32</f>
        <v/>
      </c>
      <c r="Q32" s="4" t="str">
        <f>'CSE1'!Q32</f>
        <v/>
      </c>
      <c r="R32" s="4" t="str">
        <f>'CSE1'!R32</f>
        <v/>
      </c>
      <c r="S32" s="4" t="str">
        <f>'CSE1'!S32</f>
        <v/>
      </c>
      <c r="T32" s="4" t="str">
        <f>'CSE1'!T32</f>
        <v/>
      </c>
      <c r="U32" s="4" t="str">
        <f>'CSE1'!U32</f>
        <v/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4">
        <v>32.0</v>
      </c>
      <c r="B33" s="4">
        <f>'CSE1'!B33</f>
        <v>160118733033</v>
      </c>
      <c r="C33" s="4" t="str">
        <f>'CSE1'!C33</f>
        <v>BEJGAM NITHIN SAI</v>
      </c>
      <c r="D33" s="5" t="str">
        <f>'CSE1'!D33</f>
        <v>YES</v>
      </c>
      <c r="E33" s="4" t="str">
        <f>'CSE1'!E33</f>
        <v>Accelerize 360</v>
      </c>
      <c r="F33" s="4" t="str">
        <f>'CSE1'!F33</f>
        <v>7 LPA</v>
      </c>
      <c r="G33" s="4" t="str">
        <f>'CSE1'!G33</f>
        <v>Darwin Box (Internship)</v>
      </c>
      <c r="H33" s="4" t="str">
        <f>'CSE1'!H33</f>
        <v>25K</v>
      </c>
      <c r="I33" s="4" t="str">
        <f>'CSE1'!I33</f>
        <v/>
      </c>
      <c r="J33" s="4" t="str">
        <f>'CSE1'!J33</f>
        <v/>
      </c>
      <c r="K33" s="4" t="str">
        <f>'CSE1'!K33</f>
        <v/>
      </c>
      <c r="L33" s="4" t="str">
        <f>'CSE1'!L33</f>
        <v/>
      </c>
      <c r="M33" s="4" t="str">
        <f>'CSE1'!M33</f>
        <v/>
      </c>
      <c r="N33" s="4" t="str">
        <f>'CSE1'!N33</f>
        <v/>
      </c>
      <c r="O33" s="4" t="str">
        <f>'CSE1'!O33</f>
        <v/>
      </c>
      <c r="P33" s="4" t="str">
        <f>'CSE1'!P33</f>
        <v/>
      </c>
      <c r="Q33" s="4" t="str">
        <f>'CSE1'!Q33</f>
        <v/>
      </c>
      <c r="R33" s="4" t="str">
        <f>'CSE1'!R33</f>
        <v/>
      </c>
      <c r="S33" s="4" t="str">
        <f>'CSE1'!S33</f>
        <v/>
      </c>
      <c r="T33" s="4" t="str">
        <f>'CSE1'!T33</f>
        <v/>
      </c>
      <c r="U33" s="4" t="str">
        <f>'CSE1'!U33</f>
        <v/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4">
        <v>33.0</v>
      </c>
      <c r="B34" s="4">
        <f>'CSE1'!B34</f>
        <v>160118733034</v>
      </c>
      <c r="C34" s="4" t="str">
        <f>'CSE1'!C34</f>
        <v>Phani Varma Gadiraju</v>
      </c>
      <c r="D34" s="5" t="str">
        <f>'CSE1'!D34</f>
        <v>YES</v>
      </c>
      <c r="E34" s="4" t="str">
        <f>'CSE1'!E34</f>
        <v>Micron (ETD)</v>
      </c>
      <c r="F34" s="4" t="str">
        <f>'CSE1'!F34</f>
        <v>8.1 LPA</v>
      </c>
      <c r="G34" s="4" t="str">
        <f>'CSE1'!G34</f>
        <v/>
      </c>
      <c r="H34" s="4" t="str">
        <f>'CSE1'!H34</f>
        <v/>
      </c>
      <c r="I34" s="4" t="str">
        <f>'CSE1'!I34</f>
        <v/>
      </c>
      <c r="J34" s="4" t="str">
        <f>'CSE1'!J34</f>
        <v/>
      </c>
      <c r="K34" s="4" t="str">
        <f>'CSE1'!K34</f>
        <v/>
      </c>
      <c r="L34" s="4" t="str">
        <f>'CSE1'!L34</f>
        <v/>
      </c>
      <c r="M34" s="4" t="str">
        <f>'CSE1'!M34</f>
        <v/>
      </c>
      <c r="N34" s="4" t="str">
        <f>'CSE1'!N34</f>
        <v/>
      </c>
      <c r="O34" s="4" t="str">
        <f>'CSE1'!O34</f>
        <v/>
      </c>
      <c r="P34" s="4" t="str">
        <f>'CSE1'!P34</f>
        <v/>
      </c>
      <c r="Q34" s="4" t="str">
        <f>'CSE1'!Q34</f>
        <v/>
      </c>
      <c r="R34" s="4" t="str">
        <f>'CSE1'!R34</f>
        <v/>
      </c>
      <c r="S34" s="4" t="str">
        <f>'CSE1'!S34</f>
        <v/>
      </c>
      <c r="T34" s="4" t="str">
        <f>'CSE1'!T34</f>
        <v/>
      </c>
      <c r="U34" s="4" t="str">
        <f>'CSE1'!U34</f>
        <v/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4">
        <v>34.0</v>
      </c>
      <c r="B35" s="4">
        <f>'CSE1'!B35</f>
        <v>160118733035</v>
      </c>
      <c r="C35" s="4" t="str">
        <f>'CSE1'!C35</f>
        <v>Mudavath prakash</v>
      </c>
      <c r="D35" s="5" t="str">
        <f>'CSE1'!D35</f>
        <v/>
      </c>
      <c r="E35" s="4" t="str">
        <f>'CSE1'!E35</f>
        <v>DBS</v>
      </c>
      <c r="F35" s="4" t="str">
        <f>'CSE1'!F35</f>
        <v>8.5 LPA</v>
      </c>
      <c r="G35" s="4" t="str">
        <f>'CSE1'!G35</f>
        <v/>
      </c>
      <c r="H35" s="4" t="str">
        <f>'CSE1'!H35</f>
        <v/>
      </c>
      <c r="I35" s="4" t="str">
        <f>'CSE1'!I35</f>
        <v/>
      </c>
      <c r="J35" s="4" t="str">
        <f>'CSE1'!J35</f>
        <v/>
      </c>
      <c r="K35" s="4" t="str">
        <f>'CSE1'!K35</f>
        <v/>
      </c>
      <c r="L35" s="4" t="str">
        <f>'CSE1'!L35</f>
        <v/>
      </c>
      <c r="M35" s="4" t="str">
        <f>'CSE1'!M35</f>
        <v/>
      </c>
      <c r="N35" s="4" t="str">
        <f>'CSE1'!N35</f>
        <v/>
      </c>
      <c r="O35" s="4" t="str">
        <f>'CSE1'!O35</f>
        <v/>
      </c>
      <c r="P35" s="4" t="str">
        <f>'CSE1'!P35</f>
        <v/>
      </c>
      <c r="Q35" s="4" t="str">
        <f>'CSE1'!Q35</f>
        <v/>
      </c>
      <c r="R35" s="4" t="str">
        <f>'CSE1'!R35</f>
        <v/>
      </c>
      <c r="S35" s="4" t="str">
        <f>'CSE1'!S35</f>
        <v/>
      </c>
      <c r="T35" s="4" t="str">
        <f>'CSE1'!T35</f>
        <v/>
      </c>
      <c r="U35" s="4" t="str">
        <f>'CSE1'!U35</f>
        <v/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4">
        <v>35.0</v>
      </c>
      <c r="B36" s="4">
        <f>'CSE1'!B36</f>
        <v>160118733036</v>
      </c>
      <c r="C36" s="4" t="str">
        <f>'CSE1'!C36</f>
        <v>Pranav vinod kaple</v>
      </c>
      <c r="D36" s="5" t="str">
        <f>'CSE1'!D36</f>
        <v>YES</v>
      </c>
      <c r="E36" s="4" t="str">
        <f>'CSE1'!E36</f>
        <v>Cognizant GenC Next</v>
      </c>
      <c r="F36" s="4" t="str">
        <f>'CSE1'!F36</f>
        <v>6.75 LPA</v>
      </c>
      <c r="G36" s="4" t="str">
        <f>'CSE1'!G36</f>
        <v/>
      </c>
      <c r="H36" s="4" t="str">
        <f>'CSE1'!H36</f>
        <v/>
      </c>
      <c r="I36" s="4" t="str">
        <f>'CSE1'!I36</f>
        <v/>
      </c>
      <c r="J36" s="4" t="str">
        <f>'CSE1'!J36</f>
        <v/>
      </c>
      <c r="K36" s="4" t="str">
        <f>'CSE1'!K36</f>
        <v/>
      </c>
      <c r="L36" s="4" t="str">
        <f>'CSE1'!L36</f>
        <v/>
      </c>
      <c r="M36" s="4" t="str">
        <f>'CSE1'!M36</f>
        <v/>
      </c>
      <c r="N36" s="4" t="str">
        <f>'CSE1'!N36</f>
        <v/>
      </c>
      <c r="O36" s="4" t="str">
        <f>'CSE1'!O36</f>
        <v/>
      </c>
      <c r="P36" s="4" t="str">
        <f>'CSE1'!P36</f>
        <v/>
      </c>
      <c r="Q36" s="4" t="str">
        <f>'CSE1'!Q36</f>
        <v/>
      </c>
      <c r="R36" s="4" t="str">
        <f>'CSE1'!R36</f>
        <v/>
      </c>
      <c r="S36" s="4" t="str">
        <f>'CSE1'!S36</f>
        <v/>
      </c>
      <c r="T36" s="4" t="str">
        <f>'CSE1'!T36</f>
        <v/>
      </c>
      <c r="U36" s="4" t="str">
        <f>'CSE1'!U36</f>
        <v/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4">
        <v>36.0</v>
      </c>
      <c r="B37" s="4">
        <f>'CSE1'!B37</f>
        <v>160118733037</v>
      </c>
      <c r="C37" s="4" t="str">
        <f>'CSE1'!C37</f>
        <v>Dendi Praneeth Reddy</v>
      </c>
      <c r="D37" s="5" t="str">
        <f>'CSE1'!D37</f>
        <v/>
      </c>
      <c r="E37" s="4" t="str">
        <f>'CSE1'!E37</f>
        <v/>
      </c>
      <c r="F37" s="4" t="str">
        <f>'CSE1'!F37</f>
        <v/>
      </c>
      <c r="G37" s="4" t="str">
        <f>'CSE1'!G37</f>
        <v/>
      </c>
      <c r="H37" s="4" t="str">
        <f>'CSE1'!H37</f>
        <v/>
      </c>
      <c r="I37" s="4" t="str">
        <f>'CSE1'!I37</f>
        <v/>
      </c>
      <c r="J37" s="4" t="str">
        <f>'CSE1'!J37</f>
        <v/>
      </c>
      <c r="K37" s="4" t="str">
        <f>'CSE1'!K37</f>
        <v/>
      </c>
      <c r="L37" s="4" t="str">
        <f>'CSE1'!L37</f>
        <v/>
      </c>
      <c r="M37" s="4" t="str">
        <f>'CSE1'!M37</f>
        <v/>
      </c>
      <c r="N37" s="4" t="str">
        <f>'CSE1'!N37</f>
        <v/>
      </c>
      <c r="O37" s="4" t="str">
        <f>'CSE1'!O37</f>
        <v/>
      </c>
      <c r="P37" s="4" t="str">
        <f>'CSE1'!P37</f>
        <v/>
      </c>
      <c r="Q37" s="4" t="str">
        <f>'CSE1'!Q37</f>
        <v/>
      </c>
      <c r="R37" s="4" t="str">
        <f>'CSE1'!R37</f>
        <v/>
      </c>
      <c r="S37" s="4" t="str">
        <f>'CSE1'!S37</f>
        <v/>
      </c>
      <c r="T37" s="4" t="str">
        <f>'CSE1'!T37</f>
        <v/>
      </c>
      <c r="U37" s="4" t="str">
        <f>'CSE1'!U37</f>
        <v/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4">
        <v>37.0</v>
      </c>
      <c r="B38" s="4">
        <f>'CSE1'!B38</f>
        <v>160118733038</v>
      </c>
      <c r="C38" s="4" t="str">
        <f>'CSE1'!C38</f>
        <v>Rama Krishna Parjanya Varanasi</v>
      </c>
      <c r="D38" s="5" t="str">
        <f>'CSE1'!D38</f>
        <v>YES</v>
      </c>
      <c r="E38" s="4" t="str">
        <f>'CSE1'!E38</f>
        <v>JPMC (PPO)</v>
      </c>
      <c r="F38" s="4" t="str">
        <f>'CSE1'!F38</f>
        <v>14 LPA</v>
      </c>
      <c r="G38" s="4" t="str">
        <f>'CSE1'!G38</f>
        <v/>
      </c>
      <c r="H38" s="4" t="str">
        <f>'CSE1'!H38</f>
        <v/>
      </c>
      <c r="I38" s="4" t="str">
        <f>'CSE1'!I38</f>
        <v/>
      </c>
      <c r="J38" s="4" t="str">
        <f>'CSE1'!J38</f>
        <v/>
      </c>
      <c r="K38" s="4" t="str">
        <f>'CSE1'!K38</f>
        <v/>
      </c>
      <c r="L38" s="4" t="str">
        <f>'CSE1'!L38</f>
        <v/>
      </c>
      <c r="M38" s="4" t="str">
        <f>'CSE1'!M38</f>
        <v/>
      </c>
      <c r="N38" s="4" t="str">
        <f>'CSE1'!N38</f>
        <v/>
      </c>
      <c r="O38" s="4" t="str">
        <f>'CSE1'!O38</f>
        <v/>
      </c>
      <c r="P38" s="4" t="str">
        <f>'CSE1'!P38</f>
        <v/>
      </c>
      <c r="Q38" s="4" t="str">
        <f>'CSE1'!Q38</f>
        <v/>
      </c>
      <c r="R38" s="4" t="str">
        <f>'CSE1'!R38</f>
        <v/>
      </c>
      <c r="S38" s="4" t="str">
        <f>'CSE1'!S38</f>
        <v/>
      </c>
      <c r="T38" s="4" t="str">
        <f>'CSE1'!T38</f>
        <v/>
      </c>
      <c r="U38" s="4" t="str">
        <f>'CSE1'!U38</f>
        <v/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4">
        <v>38.0</v>
      </c>
      <c r="B39" s="4">
        <f>'CSE1'!B39</f>
        <v>160118733039</v>
      </c>
      <c r="C39" s="4" t="str">
        <f>'CSE1'!C39</f>
        <v>Rama Krishna Reddy Rela</v>
      </c>
      <c r="D39" s="5" t="str">
        <f>'CSE1'!D39</f>
        <v>YES</v>
      </c>
      <c r="E39" s="4" t="str">
        <f>'CSE1'!E39</f>
        <v>Cognizant GenC</v>
      </c>
      <c r="F39" s="4" t="str">
        <f>'CSE1'!F39</f>
        <v>4 LPA</v>
      </c>
      <c r="G39" s="4" t="str">
        <f>'CSE1'!G39</f>
        <v>Merilytics</v>
      </c>
      <c r="H39" s="4" t="str">
        <f>'CSE1'!H39</f>
        <v>6.5 LPA</v>
      </c>
      <c r="I39" s="4" t="str">
        <f>'CSE1'!I39</f>
        <v>Wipro</v>
      </c>
      <c r="J39" s="4" t="str">
        <f>'CSE1'!J39</f>
        <v>3.5 LPA</v>
      </c>
      <c r="K39" s="4" t="str">
        <f>'CSE1'!K39</f>
        <v/>
      </c>
      <c r="L39" s="4" t="str">
        <f>'CSE1'!L39</f>
        <v/>
      </c>
      <c r="M39" s="4" t="str">
        <f>'CSE1'!M39</f>
        <v/>
      </c>
      <c r="N39" s="4" t="str">
        <f>'CSE1'!N39</f>
        <v/>
      </c>
      <c r="O39" s="4" t="str">
        <f>'CSE1'!O39</f>
        <v/>
      </c>
      <c r="P39" s="4" t="str">
        <f>'CSE1'!P39</f>
        <v/>
      </c>
      <c r="Q39" s="4" t="str">
        <f>'CSE1'!Q39</f>
        <v/>
      </c>
      <c r="R39" s="4" t="str">
        <f>'CSE1'!R39</f>
        <v/>
      </c>
      <c r="S39" s="4" t="str">
        <f>'CSE1'!S39</f>
        <v/>
      </c>
      <c r="T39" s="4" t="str">
        <f>'CSE1'!T39</f>
        <v/>
      </c>
      <c r="U39" s="4" t="str">
        <f>'CSE1'!U39</f>
        <v/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4">
        <v>39.0</v>
      </c>
      <c r="B40" s="4">
        <f>'CSE1'!B40</f>
        <v>160118733041</v>
      </c>
      <c r="C40" s="4" t="str">
        <f>'CSE1'!C40</f>
        <v>S Revanth Reddy</v>
      </c>
      <c r="D40" s="5" t="str">
        <f>'CSE1'!D40</f>
        <v>YES</v>
      </c>
      <c r="E40" s="4" t="str">
        <f>'CSE1'!E40</f>
        <v>Cognizant GenC Elevate</v>
      </c>
      <c r="F40" s="4" t="str">
        <f>'CSE1'!F40</f>
        <v>4 LPA</v>
      </c>
      <c r="G40" s="4" t="str">
        <f>'CSE1'!G40</f>
        <v>Wipro</v>
      </c>
      <c r="H40" s="4" t="str">
        <f>'CSE1'!H40</f>
        <v>3.5 LPA</v>
      </c>
      <c r="I40" s="4" t="str">
        <f>'CSE1'!I40</f>
        <v>Infosys (SE)</v>
      </c>
      <c r="J40" s="4" t="str">
        <f>'CSE1'!J40</f>
        <v>3.6 LPA</v>
      </c>
      <c r="K40" s="4" t="str">
        <f>'CSE1'!K40</f>
        <v/>
      </c>
      <c r="L40" s="4" t="str">
        <f>'CSE1'!L40</f>
        <v/>
      </c>
      <c r="M40" s="4" t="str">
        <f>'CSE1'!M40</f>
        <v/>
      </c>
      <c r="N40" s="4" t="str">
        <f>'CSE1'!N40</f>
        <v/>
      </c>
      <c r="O40" s="4" t="str">
        <f>'CSE1'!O40</f>
        <v/>
      </c>
      <c r="P40" s="4" t="str">
        <f>'CSE1'!P40</f>
        <v/>
      </c>
      <c r="Q40" s="4" t="str">
        <f>'CSE1'!Q40</f>
        <v/>
      </c>
      <c r="R40" s="4" t="str">
        <f>'CSE1'!R40</f>
        <v/>
      </c>
      <c r="S40" s="4" t="str">
        <f>'CSE1'!S40</f>
        <v/>
      </c>
      <c r="T40" s="4" t="str">
        <f>'CSE1'!T40</f>
        <v/>
      </c>
      <c r="U40" s="4" t="str">
        <f>'CSE1'!U40</f>
        <v/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4">
        <v>40.0</v>
      </c>
      <c r="B41" s="4">
        <f>'CSE1'!B41</f>
        <v>160118733042</v>
      </c>
      <c r="C41" s="4" t="str">
        <f>'CSE1'!C41</f>
        <v>Rohit Kumar Bandaru</v>
      </c>
      <c r="D41" s="5" t="str">
        <f>'CSE1'!D41</f>
        <v/>
      </c>
      <c r="E41" s="4" t="str">
        <f>'CSE1'!E41</f>
        <v/>
      </c>
      <c r="F41" s="4" t="str">
        <f>'CSE1'!F41</f>
        <v/>
      </c>
      <c r="G41" s="4" t="str">
        <f>'CSE1'!G41</f>
        <v/>
      </c>
      <c r="H41" s="4" t="str">
        <f>'CSE1'!H41</f>
        <v/>
      </c>
      <c r="I41" s="4" t="str">
        <f>'CSE1'!I41</f>
        <v/>
      </c>
      <c r="J41" s="4" t="str">
        <f>'CSE1'!J41</f>
        <v/>
      </c>
      <c r="K41" s="4" t="str">
        <f>'CSE1'!K41</f>
        <v/>
      </c>
      <c r="L41" s="4" t="str">
        <f>'CSE1'!L41</f>
        <v/>
      </c>
      <c r="M41" s="4" t="str">
        <f>'CSE1'!M41</f>
        <v/>
      </c>
      <c r="N41" s="4" t="str">
        <f>'CSE1'!N41</f>
        <v/>
      </c>
      <c r="O41" s="4" t="str">
        <f>'CSE1'!O41</f>
        <v/>
      </c>
      <c r="P41" s="4" t="str">
        <f>'CSE1'!P41</f>
        <v/>
      </c>
      <c r="Q41" s="4" t="str">
        <f>'CSE1'!Q41</f>
        <v/>
      </c>
      <c r="R41" s="4" t="str">
        <f>'CSE1'!R41</f>
        <v/>
      </c>
      <c r="S41" s="4" t="str">
        <f>'CSE1'!S41</f>
        <v/>
      </c>
      <c r="T41" s="4" t="str">
        <f>'CSE1'!T41</f>
        <v/>
      </c>
      <c r="U41" s="4" t="str">
        <f>'CSE1'!U41</f>
        <v/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4">
        <v>41.0</v>
      </c>
      <c r="B42" s="4">
        <f>'CSE1'!B42</f>
        <v>160118733043</v>
      </c>
      <c r="C42" s="4" t="str">
        <f>'CSE1'!C42</f>
        <v>Kalyan Sai Bandhakavi</v>
      </c>
      <c r="D42" s="5" t="str">
        <f>'CSE1'!D42</f>
        <v/>
      </c>
      <c r="E42" s="4" t="str">
        <f>'CSE1'!E42</f>
        <v>Deloitte (Consulting)</v>
      </c>
      <c r="F42" s="4" t="str">
        <f>'CSE1'!F42</f>
        <v>7.6 LPA</v>
      </c>
      <c r="G42" s="4" t="str">
        <f>'CSE1'!G42</f>
        <v/>
      </c>
      <c r="H42" s="4" t="str">
        <f>'CSE1'!H42</f>
        <v/>
      </c>
      <c r="I42" s="4" t="str">
        <f>'CSE1'!I42</f>
        <v/>
      </c>
      <c r="J42" s="4" t="str">
        <f>'CSE1'!J42</f>
        <v/>
      </c>
      <c r="K42" s="4" t="str">
        <f>'CSE1'!K42</f>
        <v/>
      </c>
      <c r="L42" s="4" t="str">
        <f>'CSE1'!L42</f>
        <v/>
      </c>
      <c r="M42" s="4" t="str">
        <f>'CSE1'!M42</f>
        <v/>
      </c>
      <c r="N42" s="4" t="str">
        <f>'CSE1'!N42</f>
        <v/>
      </c>
      <c r="O42" s="4" t="str">
        <f>'CSE1'!O42</f>
        <v/>
      </c>
      <c r="P42" s="4" t="str">
        <f>'CSE1'!P42</f>
        <v/>
      </c>
      <c r="Q42" s="4" t="str">
        <f>'CSE1'!Q42</f>
        <v/>
      </c>
      <c r="R42" s="4" t="str">
        <f>'CSE1'!R42</f>
        <v/>
      </c>
      <c r="S42" s="4" t="str">
        <f>'CSE1'!S42</f>
        <v/>
      </c>
      <c r="T42" s="4" t="str">
        <f>'CSE1'!T42</f>
        <v/>
      </c>
      <c r="U42" s="4" t="str">
        <f>'CSE1'!U42</f>
        <v/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4">
        <v>42.0</v>
      </c>
      <c r="B43" s="4">
        <f>'CSE1'!B43</f>
        <v>160118733044</v>
      </c>
      <c r="C43" s="4" t="str">
        <f>'CSE1'!C43</f>
        <v>Katroth Sai Shashanth</v>
      </c>
      <c r="D43" s="5" t="str">
        <f>'CSE1'!D43</f>
        <v>YES</v>
      </c>
      <c r="E43" s="4" t="str">
        <f>'CSE1'!E43</f>
        <v>Micron (IT Engineering)</v>
      </c>
      <c r="F43" s="4" t="str">
        <f>'CSE1'!F43</f>
        <v>8.1 LPA</v>
      </c>
      <c r="G43" s="4" t="str">
        <f>'CSE1'!G43</f>
        <v/>
      </c>
      <c r="H43" s="4" t="str">
        <f>'CSE1'!H43</f>
        <v/>
      </c>
      <c r="I43" s="4" t="str">
        <f>'CSE1'!I43</f>
        <v/>
      </c>
      <c r="J43" s="4" t="str">
        <f>'CSE1'!J43</f>
        <v/>
      </c>
      <c r="K43" s="4" t="str">
        <f>'CSE1'!K43</f>
        <v/>
      </c>
      <c r="L43" s="4" t="str">
        <f>'CSE1'!L43</f>
        <v/>
      </c>
      <c r="M43" s="4" t="str">
        <f>'CSE1'!M43</f>
        <v/>
      </c>
      <c r="N43" s="4" t="str">
        <f>'CSE1'!N43</f>
        <v/>
      </c>
      <c r="O43" s="4" t="str">
        <f>'CSE1'!O43</f>
        <v/>
      </c>
      <c r="P43" s="4" t="str">
        <f>'CSE1'!P43</f>
        <v/>
      </c>
      <c r="Q43" s="4" t="str">
        <f>'CSE1'!Q43</f>
        <v/>
      </c>
      <c r="R43" s="4" t="str">
        <f>'CSE1'!R43</f>
        <v/>
      </c>
      <c r="S43" s="4" t="str">
        <f>'CSE1'!S43</f>
        <v/>
      </c>
      <c r="T43" s="4" t="str">
        <f>'CSE1'!T43</f>
        <v/>
      </c>
      <c r="U43" s="4" t="str">
        <f>'CSE1'!U43</f>
        <v/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4">
        <v>43.0</v>
      </c>
      <c r="B44" s="4">
        <f>'CSE1'!B44</f>
        <v>160118733045</v>
      </c>
      <c r="C44" s="4" t="str">
        <f>'CSE1'!C44</f>
        <v>Saikumar Kaleru</v>
      </c>
      <c r="D44" s="5" t="str">
        <f>'CSE1'!D44</f>
        <v/>
      </c>
      <c r="E44" s="4" t="str">
        <f>'CSE1'!E44</f>
        <v>Advance Auto Parts (PPO)</v>
      </c>
      <c r="F44" s="4" t="str">
        <f>'CSE1'!F44</f>
        <v>9 LPA</v>
      </c>
      <c r="G44" s="4" t="str">
        <f>'CSE1'!G44</f>
        <v>Infosys (SE)</v>
      </c>
      <c r="H44" s="4" t="str">
        <f>'CSE1'!H44</f>
        <v>3.6 LPA</v>
      </c>
      <c r="I44" s="4" t="str">
        <f>'CSE1'!I44</f>
        <v/>
      </c>
      <c r="J44" s="4" t="str">
        <f>'CSE1'!J44</f>
        <v/>
      </c>
      <c r="K44" s="4" t="str">
        <f>'CSE1'!K44</f>
        <v/>
      </c>
      <c r="L44" s="4" t="str">
        <f>'CSE1'!L44</f>
        <v/>
      </c>
      <c r="M44" s="4" t="str">
        <f>'CSE1'!M44</f>
        <v/>
      </c>
      <c r="N44" s="4" t="str">
        <f>'CSE1'!N44</f>
        <v/>
      </c>
      <c r="O44" s="4" t="str">
        <f>'CSE1'!O44</f>
        <v/>
      </c>
      <c r="P44" s="4" t="str">
        <f>'CSE1'!P44</f>
        <v/>
      </c>
      <c r="Q44" s="4" t="str">
        <f>'CSE1'!Q44</f>
        <v/>
      </c>
      <c r="R44" s="4" t="str">
        <f>'CSE1'!R44</f>
        <v/>
      </c>
      <c r="S44" s="4" t="str">
        <f>'CSE1'!S44</f>
        <v/>
      </c>
      <c r="T44" s="4" t="str">
        <f>'CSE1'!T44</f>
        <v/>
      </c>
      <c r="U44" s="4" t="str">
        <f>'CSE1'!U44</f>
        <v/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4">
        <v>44.0</v>
      </c>
      <c r="B45" s="4">
        <f>'CSE1'!B45</f>
        <v>160118733046</v>
      </c>
      <c r="C45" s="4" t="str">
        <f>'CSE1'!C45</f>
        <v>Dhondi Santhosh Sai</v>
      </c>
      <c r="D45" s="5" t="str">
        <f>'CSE1'!D45</f>
        <v>YES</v>
      </c>
      <c r="E45" s="4" t="str">
        <f>'CSE1'!E45</f>
        <v>Accolite</v>
      </c>
      <c r="F45" s="4" t="str">
        <f>'CSE1'!F45</f>
        <v>8 LPA</v>
      </c>
      <c r="G45" s="4" t="str">
        <f>'CSE1'!G45</f>
        <v>Barclays</v>
      </c>
      <c r="H45" s="4" t="str">
        <f>'CSE1'!H45</f>
        <v>12.73 LPA</v>
      </c>
      <c r="I45" s="4" t="str">
        <f>'CSE1'!I45</f>
        <v>Amazon</v>
      </c>
      <c r="J45" s="4" t="str">
        <f>'CSE1'!J45</f>
        <v>33 LPA</v>
      </c>
      <c r="K45" s="4" t="str">
        <f>'CSE1'!K45</f>
        <v>Infosys (DSE)</v>
      </c>
      <c r="L45" s="4" t="str">
        <f>'CSE1'!L45</f>
        <v>6.25 LPA</v>
      </c>
      <c r="M45" s="4" t="str">
        <f>'CSE1'!M45</f>
        <v/>
      </c>
      <c r="N45" s="4" t="str">
        <f>'CSE1'!N45</f>
        <v/>
      </c>
      <c r="O45" s="4" t="str">
        <f>'CSE1'!O45</f>
        <v/>
      </c>
      <c r="P45" s="4" t="str">
        <f>'CSE1'!P45</f>
        <v/>
      </c>
      <c r="Q45" s="4" t="str">
        <f>'CSE1'!Q45</f>
        <v/>
      </c>
      <c r="R45" s="4" t="str">
        <f>'CSE1'!R45</f>
        <v/>
      </c>
      <c r="S45" s="4" t="str">
        <f>'CSE1'!S45</f>
        <v/>
      </c>
      <c r="T45" s="4" t="str">
        <f>'CSE1'!T45</f>
        <v/>
      </c>
      <c r="U45" s="4" t="str">
        <f>'CSE1'!U45</f>
        <v/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4">
        <v>45.0</v>
      </c>
      <c r="B46" s="4">
        <f>'CSE1'!B46</f>
        <v>160118733047</v>
      </c>
      <c r="C46" s="4" t="str">
        <f>'CSE1'!C46</f>
        <v>Sathvik Thandra</v>
      </c>
      <c r="D46" s="5" t="str">
        <f>'CSE1'!D46</f>
        <v/>
      </c>
      <c r="E46" s="4" t="str">
        <f>'CSE1'!E46</f>
        <v/>
      </c>
      <c r="F46" s="4" t="str">
        <f>'CSE1'!F46</f>
        <v/>
      </c>
      <c r="G46" s="4" t="str">
        <f>'CSE1'!G46</f>
        <v/>
      </c>
      <c r="H46" s="4" t="str">
        <f>'CSE1'!H46</f>
        <v/>
      </c>
      <c r="I46" s="4" t="str">
        <f>'CSE1'!I46</f>
        <v/>
      </c>
      <c r="J46" s="4" t="str">
        <f>'CSE1'!J46</f>
        <v/>
      </c>
      <c r="K46" s="4" t="str">
        <f>'CSE1'!K46</f>
        <v/>
      </c>
      <c r="L46" s="4" t="str">
        <f>'CSE1'!L46</f>
        <v/>
      </c>
      <c r="M46" s="4" t="str">
        <f>'CSE1'!M46</f>
        <v/>
      </c>
      <c r="N46" s="4" t="str">
        <f>'CSE1'!N46</f>
        <v/>
      </c>
      <c r="O46" s="4" t="str">
        <f>'CSE1'!O46</f>
        <v/>
      </c>
      <c r="P46" s="4" t="str">
        <f>'CSE1'!P46</f>
        <v/>
      </c>
      <c r="Q46" s="4" t="str">
        <f>'CSE1'!Q46</f>
        <v/>
      </c>
      <c r="R46" s="4" t="str">
        <f>'CSE1'!R46</f>
        <v/>
      </c>
      <c r="S46" s="4" t="str">
        <f>'CSE1'!S46</f>
        <v/>
      </c>
      <c r="T46" s="4" t="str">
        <f>'CSE1'!T46</f>
        <v/>
      </c>
      <c r="U46" s="4" t="str">
        <f>'CSE1'!U46</f>
        <v/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4">
        <v>46.0</v>
      </c>
      <c r="B47" s="4">
        <f>'CSE1'!B47</f>
        <v>160118733048</v>
      </c>
      <c r="C47" s="4" t="str">
        <f>'CSE1'!C47</f>
        <v>Siva Rama Krishnan V K</v>
      </c>
      <c r="D47" s="5" t="str">
        <f>'CSE1'!D47</f>
        <v/>
      </c>
      <c r="E47" s="4" t="str">
        <f>'CSE1'!E47</f>
        <v>Deloitte (Consulting)</v>
      </c>
      <c r="F47" s="4" t="str">
        <f>'CSE1'!F47</f>
        <v>7.6 LPA</v>
      </c>
      <c r="G47" s="4" t="str">
        <f>'CSE1'!G47</f>
        <v/>
      </c>
      <c r="H47" s="4" t="str">
        <f>'CSE1'!H47</f>
        <v/>
      </c>
      <c r="I47" s="4" t="str">
        <f>'CSE1'!I47</f>
        <v/>
      </c>
      <c r="J47" s="4" t="str">
        <f>'CSE1'!J47</f>
        <v/>
      </c>
      <c r="K47" s="4" t="str">
        <f>'CSE1'!K47</f>
        <v/>
      </c>
      <c r="L47" s="4" t="str">
        <f>'CSE1'!L47</f>
        <v/>
      </c>
      <c r="M47" s="4" t="str">
        <f>'CSE1'!M47</f>
        <v/>
      </c>
      <c r="N47" s="4" t="str">
        <f>'CSE1'!N47</f>
        <v/>
      </c>
      <c r="O47" s="4" t="str">
        <f>'CSE1'!O47</f>
        <v/>
      </c>
      <c r="P47" s="4" t="str">
        <f>'CSE1'!P47</f>
        <v/>
      </c>
      <c r="Q47" s="4" t="str">
        <f>'CSE1'!Q47</f>
        <v/>
      </c>
      <c r="R47" s="4" t="str">
        <f>'CSE1'!R47</f>
        <v/>
      </c>
      <c r="S47" s="4" t="str">
        <f>'CSE1'!S47</f>
        <v/>
      </c>
      <c r="T47" s="4" t="str">
        <f>'CSE1'!T47</f>
        <v/>
      </c>
      <c r="U47" s="4" t="str">
        <f>'CSE1'!U47</f>
        <v/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4">
        <v>47.0</v>
      </c>
      <c r="B48" s="4">
        <f>'CSE1'!B48</f>
        <v>160118733049</v>
      </c>
      <c r="C48" s="4" t="str">
        <f>'CSE1'!C48</f>
        <v>Machavolu sivaramasarma</v>
      </c>
      <c r="D48" s="5" t="str">
        <f>'CSE1'!D48</f>
        <v/>
      </c>
      <c r="E48" s="4" t="str">
        <f>'CSE1'!E48</f>
        <v/>
      </c>
      <c r="F48" s="4" t="str">
        <f>'CSE1'!F48</f>
        <v/>
      </c>
      <c r="G48" s="4" t="str">
        <f>'CSE1'!G48</f>
        <v/>
      </c>
      <c r="H48" s="4" t="str">
        <f>'CSE1'!H48</f>
        <v/>
      </c>
      <c r="I48" s="4" t="str">
        <f>'CSE1'!I48</f>
        <v/>
      </c>
      <c r="J48" s="4" t="str">
        <f>'CSE1'!J48</f>
        <v/>
      </c>
      <c r="K48" s="4" t="str">
        <f>'CSE1'!K48</f>
        <v/>
      </c>
      <c r="L48" s="4" t="str">
        <f>'CSE1'!L48</f>
        <v/>
      </c>
      <c r="M48" s="4" t="str">
        <f>'CSE1'!M48</f>
        <v/>
      </c>
      <c r="N48" s="4" t="str">
        <f>'CSE1'!N48</f>
        <v/>
      </c>
      <c r="O48" s="4" t="str">
        <f>'CSE1'!O48</f>
        <v/>
      </c>
      <c r="P48" s="4" t="str">
        <f>'CSE1'!P48</f>
        <v/>
      </c>
      <c r="Q48" s="4" t="str">
        <f>'CSE1'!Q48</f>
        <v/>
      </c>
      <c r="R48" s="4" t="str">
        <f>'CSE1'!R48</f>
        <v/>
      </c>
      <c r="S48" s="4" t="str">
        <f>'CSE1'!S48</f>
        <v/>
      </c>
      <c r="T48" s="4" t="str">
        <f>'CSE1'!T48</f>
        <v/>
      </c>
      <c r="U48" s="4" t="str">
        <f>'CSE1'!U48</f>
        <v/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4">
        <v>48.0</v>
      </c>
      <c r="B49" s="4">
        <f>'CSE1'!B49</f>
        <v>160118733050</v>
      </c>
      <c r="C49" s="4" t="str">
        <f>'CSE1'!C49</f>
        <v>SRIDHAR SHELGE</v>
      </c>
      <c r="D49" s="5" t="str">
        <f>'CSE1'!D49</f>
        <v>YES</v>
      </c>
      <c r="E49" s="4" t="str">
        <f>'CSE1'!E49</f>
        <v>Deloitte (Tax)</v>
      </c>
      <c r="F49" s="4" t="str">
        <f>'CSE1'!F49</f>
        <v>7.6 LPA</v>
      </c>
      <c r="G49" s="4" t="str">
        <f>'CSE1'!G49</f>
        <v>Nutanix (Internship)</v>
      </c>
      <c r="H49" s="4" t="str">
        <f>'CSE1'!H49</f>
        <v>50k</v>
      </c>
      <c r="I49" s="4" t="str">
        <f>'CSE1'!I49</f>
        <v/>
      </c>
      <c r="J49" s="4" t="str">
        <f>'CSE1'!J49</f>
        <v/>
      </c>
      <c r="K49" s="4" t="str">
        <f>'CSE1'!K49</f>
        <v/>
      </c>
      <c r="L49" s="4" t="str">
        <f>'CSE1'!L49</f>
        <v/>
      </c>
      <c r="M49" s="4" t="str">
        <f>'CSE1'!M49</f>
        <v/>
      </c>
      <c r="N49" s="4" t="str">
        <f>'CSE1'!N49</f>
        <v/>
      </c>
      <c r="O49" s="4" t="str">
        <f>'CSE1'!O49</f>
        <v/>
      </c>
      <c r="P49" s="4" t="str">
        <f>'CSE1'!P49</f>
        <v/>
      </c>
      <c r="Q49" s="4" t="str">
        <f>'CSE1'!Q49</f>
        <v/>
      </c>
      <c r="R49" s="4" t="str">
        <f>'CSE1'!R49</f>
        <v/>
      </c>
      <c r="S49" s="4" t="str">
        <f>'CSE1'!S49</f>
        <v/>
      </c>
      <c r="T49" s="4" t="str">
        <f>'CSE1'!T49</f>
        <v/>
      </c>
      <c r="U49" s="4" t="str">
        <f>'CSE1'!U49</f>
        <v/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4">
        <v>49.0</v>
      </c>
      <c r="B50" s="4">
        <f>'CSE1'!B50</f>
        <v>160118733051</v>
      </c>
      <c r="C50" s="4" t="str">
        <f>'CSE1'!C50</f>
        <v>MURUGESAN SUBRAMANI</v>
      </c>
      <c r="D50" s="5" t="str">
        <f>'CSE1'!D50</f>
        <v>YES</v>
      </c>
      <c r="E50" s="4" t="str">
        <f>'CSE1'!E50</f>
        <v>Accelerize 360</v>
      </c>
      <c r="F50" s="4" t="str">
        <f>'CSE1'!F50</f>
        <v>7 LPA</v>
      </c>
      <c r="G50" s="4" t="str">
        <f>'CSE1'!G50</f>
        <v>ServiceNow</v>
      </c>
      <c r="H50" s="4" t="str">
        <f>'CSE1'!H50</f>
        <v>25 LPA</v>
      </c>
      <c r="I50" s="4" t="str">
        <f>'CSE1'!I50</f>
        <v>Infosys (DSE)</v>
      </c>
      <c r="J50" s="4" t="str">
        <f>'CSE1'!J50</f>
        <v>6.25 LPA</v>
      </c>
      <c r="K50" s="4" t="str">
        <f>'CSE1'!K50</f>
        <v/>
      </c>
      <c r="L50" s="4" t="str">
        <f>'CSE1'!L50</f>
        <v/>
      </c>
      <c r="M50" s="4" t="str">
        <f>'CSE1'!M50</f>
        <v/>
      </c>
      <c r="N50" s="4" t="str">
        <f>'CSE1'!N50</f>
        <v/>
      </c>
      <c r="O50" s="4" t="str">
        <f>'CSE1'!O50</f>
        <v/>
      </c>
      <c r="P50" s="4" t="str">
        <f>'CSE1'!P50</f>
        <v/>
      </c>
      <c r="Q50" s="4" t="str">
        <f>'CSE1'!Q50</f>
        <v/>
      </c>
      <c r="R50" s="4" t="str">
        <f>'CSE1'!R50</f>
        <v/>
      </c>
      <c r="S50" s="4" t="str">
        <f>'CSE1'!S50</f>
        <v/>
      </c>
      <c r="T50" s="4" t="str">
        <f>'CSE1'!T50</f>
        <v/>
      </c>
      <c r="U50" s="4" t="str">
        <f>'CSE1'!U50</f>
        <v/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4">
        <v>50.0</v>
      </c>
      <c r="B51" s="4">
        <f>'CSE1'!B51</f>
        <v>160118733052</v>
      </c>
      <c r="C51" s="4" t="str">
        <f>'CSE1'!C51</f>
        <v>TARUN KUMAR SONI</v>
      </c>
      <c r="D51" s="5" t="str">
        <f>'CSE1'!D51</f>
        <v>YES</v>
      </c>
      <c r="E51" s="4" t="str">
        <f>'CSE1'!E51</f>
        <v>Cognizant GenC Elevate</v>
      </c>
      <c r="F51" s="4" t="str">
        <f>'CSE1'!F51</f>
        <v>4 LPA</v>
      </c>
      <c r="G51" s="4" t="str">
        <f>'CSE1'!G51</f>
        <v>Modak Analytics</v>
      </c>
      <c r="H51" s="4" t="str">
        <f>'CSE1'!H51</f>
        <v>6 LPA</v>
      </c>
      <c r="I51" s="4" t="str">
        <f>'CSE1'!I51</f>
        <v>Wipro</v>
      </c>
      <c r="J51" s="4" t="str">
        <f>'CSE1'!J51</f>
        <v>3.5 LPA</v>
      </c>
      <c r="K51" s="4" t="str">
        <f>'CSE1'!K51</f>
        <v>Infosys (SE)</v>
      </c>
      <c r="L51" s="4" t="str">
        <f>'CSE1'!L51</f>
        <v>3.6 LPA</v>
      </c>
      <c r="M51" s="4" t="str">
        <f>'CSE1'!M51</f>
        <v>Veritas</v>
      </c>
      <c r="N51" s="4" t="str">
        <f>'CSE1'!N51</f>
        <v>7.5 LPA</v>
      </c>
      <c r="O51" s="4" t="str">
        <f>'CSE1'!O51</f>
        <v>Samsung (internship + job)</v>
      </c>
      <c r="P51" s="4" t="str">
        <f>'CSE1'!P51</f>
        <v>14.5 LPA, 30k</v>
      </c>
      <c r="Q51" s="4" t="str">
        <f>'CSE1'!Q51</f>
        <v/>
      </c>
      <c r="R51" s="4" t="str">
        <f>'CSE1'!R51</f>
        <v/>
      </c>
      <c r="S51" s="4" t="str">
        <f>'CSE1'!S51</f>
        <v/>
      </c>
      <c r="T51" s="4" t="str">
        <f>'CSE1'!T51</f>
        <v/>
      </c>
      <c r="U51" s="4" t="str">
        <f>'CSE1'!U51</f>
        <v/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4">
        <v>51.0</v>
      </c>
      <c r="B52" s="4">
        <f>'CSE1'!B52</f>
        <v>160118733053</v>
      </c>
      <c r="C52" s="4" t="str">
        <f>'CSE1'!C52</f>
        <v>Vamshisai Perumandla</v>
      </c>
      <c r="D52" s="5" t="str">
        <f>'CSE1'!D52</f>
        <v/>
      </c>
      <c r="E52" s="4" t="str">
        <f>'CSE1'!E52</f>
        <v/>
      </c>
      <c r="F52" s="4" t="str">
        <f>'CSE1'!F52</f>
        <v/>
      </c>
      <c r="G52" s="4" t="str">
        <f>'CSE1'!G52</f>
        <v/>
      </c>
      <c r="H52" s="4" t="str">
        <f>'CSE1'!H52</f>
        <v/>
      </c>
      <c r="I52" s="4" t="str">
        <f>'CSE1'!I52</f>
        <v/>
      </c>
      <c r="J52" s="4" t="str">
        <f>'CSE1'!J52</f>
        <v/>
      </c>
      <c r="K52" s="4" t="str">
        <f>'CSE1'!K52</f>
        <v/>
      </c>
      <c r="L52" s="4" t="str">
        <f>'CSE1'!L52</f>
        <v/>
      </c>
      <c r="M52" s="4" t="str">
        <f>'CSE1'!M52</f>
        <v/>
      </c>
      <c r="N52" s="4" t="str">
        <f>'CSE1'!N52</f>
        <v/>
      </c>
      <c r="O52" s="4" t="str">
        <f>'CSE1'!O52</f>
        <v/>
      </c>
      <c r="P52" s="4" t="str">
        <f>'CSE1'!P52</f>
        <v/>
      </c>
      <c r="Q52" s="4" t="str">
        <f>'CSE1'!Q52</f>
        <v/>
      </c>
      <c r="R52" s="4" t="str">
        <f>'CSE1'!R52</f>
        <v/>
      </c>
      <c r="S52" s="4" t="str">
        <f>'CSE1'!S52</f>
        <v/>
      </c>
      <c r="T52" s="4" t="str">
        <f>'CSE1'!T52</f>
        <v/>
      </c>
      <c r="U52" s="4" t="str">
        <f>'CSE1'!U52</f>
        <v/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4">
        <v>52.0</v>
      </c>
      <c r="B53" s="4">
        <f>'CSE1'!B53</f>
        <v>160118733054</v>
      </c>
      <c r="C53" s="4" t="str">
        <f>'CSE1'!C53</f>
        <v>NAGIREDDY VENKATA JASWANTH REDDY</v>
      </c>
      <c r="D53" s="5" t="str">
        <f>'CSE1'!D53</f>
        <v>YES</v>
      </c>
      <c r="E53" s="4" t="str">
        <f>'CSE1'!E53</f>
        <v>Micron (MFG)</v>
      </c>
      <c r="F53" s="4" t="str">
        <f>'CSE1'!F53</f>
        <v>8.1 LPA</v>
      </c>
      <c r="G53" s="4" t="str">
        <f>'CSE1'!G53</f>
        <v/>
      </c>
      <c r="H53" s="4" t="str">
        <f>'CSE1'!H53</f>
        <v/>
      </c>
      <c r="I53" s="4" t="str">
        <f>'CSE1'!I53</f>
        <v/>
      </c>
      <c r="J53" s="4" t="str">
        <f>'CSE1'!J53</f>
        <v/>
      </c>
      <c r="K53" s="4" t="str">
        <f>'CSE1'!K53</f>
        <v/>
      </c>
      <c r="L53" s="4" t="str">
        <f>'CSE1'!L53</f>
        <v/>
      </c>
      <c r="M53" s="4" t="str">
        <f>'CSE1'!M53</f>
        <v/>
      </c>
      <c r="N53" s="4" t="str">
        <f>'CSE1'!N53</f>
        <v/>
      </c>
      <c r="O53" s="4" t="str">
        <f>'CSE1'!O53</f>
        <v/>
      </c>
      <c r="P53" s="4" t="str">
        <f>'CSE1'!P53</f>
        <v/>
      </c>
      <c r="Q53" s="4" t="str">
        <f>'CSE1'!Q53</f>
        <v/>
      </c>
      <c r="R53" s="4" t="str">
        <f>'CSE1'!R53</f>
        <v/>
      </c>
      <c r="S53" s="4" t="str">
        <f>'CSE1'!S53</f>
        <v/>
      </c>
      <c r="T53" s="4" t="str">
        <f>'CSE1'!T53</f>
        <v/>
      </c>
      <c r="U53" s="4" t="str">
        <f>'CSE1'!U53</f>
        <v/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4">
        <v>53.0</v>
      </c>
      <c r="B54" s="4">
        <f>'CSE1'!B54</f>
        <v>160118733056</v>
      </c>
      <c r="C54" s="4" t="str">
        <f>'CSE1'!C54</f>
        <v>Thadkamadla Vikas</v>
      </c>
      <c r="D54" s="5" t="str">
        <f>'CSE1'!D54</f>
        <v>YES</v>
      </c>
      <c r="E54" s="4" t="str">
        <f>'CSE1'!E54</f>
        <v>Searce (Software Engineer)</v>
      </c>
      <c r="F54" s="4" t="str">
        <f>'CSE1'!F54</f>
        <v>7.5 LPA</v>
      </c>
      <c r="G54" s="4" t="str">
        <f>'CSE1'!G54</f>
        <v>Modak Analytics</v>
      </c>
      <c r="H54" s="4" t="str">
        <f>'CSE1'!H54</f>
        <v>6 LPA</v>
      </c>
      <c r="I54" s="4" t="str">
        <f>'CSE1'!I54</f>
        <v>Model N</v>
      </c>
      <c r="J54" s="4" t="str">
        <f>'CSE1'!J54</f>
        <v>8 LPA</v>
      </c>
      <c r="K54" s="4" t="str">
        <f>'CSE1'!K54</f>
        <v/>
      </c>
      <c r="L54" s="4" t="str">
        <f>'CSE1'!L54</f>
        <v/>
      </c>
      <c r="M54" s="4" t="str">
        <f>'CSE1'!M54</f>
        <v/>
      </c>
      <c r="N54" s="4" t="str">
        <f>'CSE1'!N54</f>
        <v/>
      </c>
      <c r="O54" s="4" t="str">
        <f>'CSE1'!O54</f>
        <v/>
      </c>
      <c r="P54" s="4" t="str">
        <f>'CSE1'!P54</f>
        <v/>
      </c>
      <c r="Q54" s="4" t="str">
        <f>'CSE1'!Q54</f>
        <v/>
      </c>
      <c r="R54" s="4" t="str">
        <f>'CSE1'!R54</f>
        <v/>
      </c>
      <c r="S54" s="4" t="str">
        <f>'CSE1'!S54</f>
        <v/>
      </c>
      <c r="T54" s="4" t="str">
        <f>'CSE1'!T54</f>
        <v/>
      </c>
      <c r="U54" s="4" t="str">
        <f>'CSE1'!U54</f>
        <v/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4">
        <v>54.0</v>
      </c>
      <c r="B55" s="4">
        <f>'CSE1'!B55</f>
        <v>160118733058</v>
      </c>
      <c r="C55" s="4" t="str">
        <f>'CSE1'!C55</f>
        <v>SAKKARI VISHAL GOUD</v>
      </c>
      <c r="D55" s="5" t="str">
        <f>'CSE1'!D55</f>
        <v>YES</v>
      </c>
      <c r="E55" s="4" t="str">
        <f>'CSE1'!E55</f>
        <v>Cognizant GenC Elevate</v>
      </c>
      <c r="F55" s="4" t="str">
        <f>'CSE1'!F55</f>
        <v>4 LPA</v>
      </c>
      <c r="G55" s="4" t="str">
        <f>'CSE1'!G55</f>
        <v>Infosys (DSE)</v>
      </c>
      <c r="H55" s="4" t="str">
        <f>'CSE1'!H55</f>
        <v>5 LPA</v>
      </c>
      <c r="I55" s="4" t="str">
        <f>'CSE1'!I55</f>
        <v>Micron (Internship)</v>
      </c>
      <c r="J55" s="4" t="str">
        <f>'CSE1'!J55</f>
        <v/>
      </c>
      <c r="K55" s="4" t="str">
        <f>'CSE1'!K55</f>
        <v/>
      </c>
      <c r="L55" s="4" t="str">
        <f>'CSE1'!L55</f>
        <v/>
      </c>
      <c r="M55" s="4" t="str">
        <f>'CSE1'!M55</f>
        <v/>
      </c>
      <c r="N55" s="4" t="str">
        <f>'CSE1'!N55</f>
        <v/>
      </c>
      <c r="O55" s="4" t="str">
        <f>'CSE1'!O55</f>
        <v/>
      </c>
      <c r="P55" s="4" t="str">
        <f>'CSE1'!P55</f>
        <v/>
      </c>
      <c r="Q55" s="4" t="str">
        <f>'CSE1'!Q55</f>
        <v/>
      </c>
      <c r="R55" s="4" t="str">
        <f>'CSE1'!R55</f>
        <v/>
      </c>
      <c r="S55" s="4" t="str">
        <f>'CSE1'!S55</f>
        <v/>
      </c>
      <c r="T55" s="4" t="str">
        <f>'CSE1'!T55</f>
        <v/>
      </c>
      <c r="U55" s="4" t="str">
        <f>'CSE1'!U55</f>
        <v/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4">
        <v>55.0</v>
      </c>
      <c r="B56" s="4">
        <f>'CSE1'!B56</f>
        <v>160118733059</v>
      </c>
      <c r="C56" s="4" t="str">
        <f>'CSE1'!C56</f>
        <v>Yashwanth Arshanapally</v>
      </c>
      <c r="D56" s="5" t="str">
        <f>'CSE1'!D56</f>
        <v/>
      </c>
      <c r="E56" s="4" t="str">
        <f>'CSE1'!E56</f>
        <v>Barclays</v>
      </c>
      <c r="F56" s="4" t="str">
        <f>'CSE1'!F56</f>
        <v>12.73 LPA</v>
      </c>
      <c r="G56" s="4" t="str">
        <f>'CSE1'!G56</f>
        <v/>
      </c>
      <c r="H56" s="4" t="str">
        <f>'CSE1'!H56</f>
        <v/>
      </c>
      <c r="I56" s="4" t="str">
        <f>'CSE1'!I56</f>
        <v/>
      </c>
      <c r="J56" s="4" t="str">
        <f>'CSE1'!J56</f>
        <v/>
      </c>
      <c r="K56" s="4" t="str">
        <f>'CSE1'!K56</f>
        <v/>
      </c>
      <c r="L56" s="4" t="str">
        <f>'CSE1'!L56</f>
        <v/>
      </c>
      <c r="M56" s="4" t="str">
        <f>'CSE1'!M56</f>
        <v/>
      </c>
      <c r="N56" s="4" t="str">
        <f>'CSE1'!N56</f>
        <v/>
      </c>
      <c r="O56" s="4" t="str">
        <f>'CSE1'!O56</f>
        <v/>
      </c>
      <c r="P56" s="4" t="str">
        <f>'CSE1'!P56</f>
        <v/>
      </c>
      <c r="Q56" s="4" t="str">
        <f>'CSE1'!Q56</f>
        <v/>
      </c>
      <c r="R56" s="4" t="str">
        <f>'CSE1'!R56</f>
        <v/>
      </c>
      <c r="S56" s="4" t="str">
        <f>'CSE1'!S56</f>
        <v/>
      </c>
      <c r="T56" s="4" t="str">
        <f>'CSE1'!T56</f>
        <v/>
      </c>
      <c r="U56" s="4" t="str">
        <f>'CSE1'!U56</f>
        <v/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4">
        <v>56.0</v>
      </c>
      <c r="B57" s="4">
        <f>'CSE1'!B57</f>
        <v>160118733060</v>
      </c>
      <c r="C57" s="4" t="str">
        <f>'CSE1'!C57</f>
        <v>J Yashwanth</v>
      </c>
      <c r="D57" s="5" t="str">
        <f>'CSE1'!D57</f>
        <v>YES</v>
      </c>
      <c r="E57" s="4" t="str">
        <f>'CSE1'!E57</f>
        <v>Advance Auto Parts (PPO)</v>
      </c>
      <c r="F57" s="4" t="str">
        <f>'CSE1'!F57</f>
        <v>9 LPA</v>
      </c>
      <c r="G57" s="4" t="str">
        <f>'CSE1'!G57</f>
        <v>ServiceNow</v>
      </c>
      <c r="H57" s="4" t="str">
        <f>'CSE1'!H57</f>
        <v>25 LPA</v>
      </c>
      <c r="I57" s="4" t="str">
        <f>'CSE1'!I57</f>
        <v>Infosys (SE)</v>
      </c>
      <c r="J57" s="4" t="str">
        <f>'CSE1'!J57</f>
        <v>3.6 LPA</v>
      </c>
      <c r="K57" s="4" t="str">
        <f>'CSE1'!K57</f>
        <v/>
      </c>
      <c r="L57" s="4" t="str">
        <f>'CSE1'!L57</f>
        <v/>
      </c>
      <c r="M57" s="4" t="str">
        <f>'CSE1'!M57</f>
        <v/>
      </c>
      <c r="N57" s="4" t="str">
        <f>'CSE1'!N57</f>
        <v/>
      </c>
      <c r="O57" s="4" t="str">
        <f>'CSE1'!O57</f>
        <v/>
      </c>
      <c r="P57" s="4" t="str">
        <f>'CSE1'!P57</f>
        <v/>
      </c>
      <c r="Q57" s="4" t="str">
        <f>'CSE1'!Q57</f>
        <v/>
      </c>
      <c r="R57" s="4" t="str">
        <f>'CSE1'!R57</f>
        <v/>
      </c>
      <c r="S57" s="4" t="str">
        <f>'CSE1'!S57</f>
        <v/>
      </c>
      <c r="T57" s="4" t="str">
        <f>'CSE1'!T57</f>
        <v/>
      </c>
      <c r="U57" s="4" t="str">
        <f>'CSE1'!U57</f>
        <v/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4">
        <v>57.0</v>
      </c>
      <c r="B58" s="4">
        <f>'CSE1'!B58</f>
        <v>160118733181</v>
      </c>
      <c r="C58" s="4" t="str">
        <f>'CSE1'!C58</f>
        <v>Anmol Maini</v>
      </c>
      <c r="D58" s="5" t="str">
        <f>'CSE1'!D58</f>
        <v>YES</v>
      </c>
      <c r="E58" s="4" t="str">
        <f>'CSE1'!E58</f>
        <v>Deloitte (PPO)</v>
      </c>
      <c r="F58" s="4" t="str">
        <f>'CSE1'!F58</f>
        <v>7.6 LPA</v>
      </c>
      <c r="G58" s="4" t="str">
        <f>'CSE1'!G58</f>
        <v>Oracle (GBU)</v>
      </c>
      <c r="H58" s="4" t="str">
        <f>'CSE1'!H58</f>
        <v>16.64 LPA</v>
      </c>
      <c r="I58" s="4" t="str">
        <f>'CSE1'!I58</f>
        <v/>
      </c>
      <c r="J58" s="4" t="str">
        <f>'CSE1'!J58</f>
        <v/>
      </c>
      <c r="K58" s="4" t="str">
        <f>'CSE1'!K58</f>
        <v/>
      </c>
      <c r="L58" s="4" t="str">
        <f>'CSE1'!L58</f>
        <v/>
      </c>
      <c r="M58" s="4" t="str">
        <f>'CSE1'!M58</f>
        <v/>
      </c>
      <c r="N58" s="4" t="str">
        <f>'CSE1'!N58</f>
        <v/>
      </c>
      <c r="O58" s="4" t="str">
        <f>'CSE1'!O58</f>
        <v/>
      </c>
      <c r="P58" s="4" t="str">
        <f>'CSE1'!P58</f>
        <v/>
      </c>
      <c r="Q58" s="4" t="str">
        <f>'CSE1'!Q58</f>
        <v/>
      </c>
      <c r="R58" s="4" t="str">
        <f>'CSE1'!R58</f>
        <v/>
      </c>
      <c r="S58" s="4" t="str">
        <f>'CSE1'!S58</f>
        <v/>
      </c>
      <c r="T58" s="4" t="str">
        <f>'CSE1'!T58</f>
        <v/>
      </c>
      <c r="U58" s="4" t="str">
        <f>'CSE1'!U58</f>
        <v/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4">
        <v>58.0</v>
      </c>
      <c r="B59" s="4">
        <f>'CSE1'!B59</f>
        <v>160118733182</v>
      </c>
      <c r="C59" s="4" t="str">
        <f>'CSE1'!C59</f>
        <v>Yuvraj Shalla</v>
      </c>
      <c r="D59" s="5" t="str">
        <f>'CSE1'!D59</f>
        <v/>
      </c>
      <c r="E59" s="4" t="str">
        <f>'CSE1'!E59</f>
        <v>Deloitte (Consulting)</v>
      </c>
      <c r="F59" s="4" t="str">
        <f>'CSE1'!F59</f>
        <v>7.6 LPA</v>
      </c>
      <c r="G59" s="4" t="str">
        <f>'CSE1'!G59</f>
        <v/>
      </c>
      <c r="H59" s="4" t="str">
        <f>'CSE1'!H59</f>
        <v/>
      </c>
      <c r="I59" s="4" t="str">
        <f>'CSE1'!I59</f>
        <v/>
      </c>
      <c r="J59" s="4" t="str">
        <f>'CSE1'!J59</f>
        <v/>
      </c>
      <c r="K59" s="4" t="str">
        <f>'CSE1'!K59</f>
        <v/>
      </c>
      <c r="L59" s="4" t="str">
        <f>'CSE1'!L59</f>
        <v/>
      </c>
      <c r="M59" s="4" t="str">
        <f>'CSE1'!M59</f>
        <v/>
      </c>
      <c r="N59" s="4" t="str">
        <f>'CSE1'!N59</f>
        <v/>
      </c>
      <c r="O59" s="4" t="str">
        <f>'CSE1'!O59</f>
        <v/>
      </c>
      <c r="P59" s="4" t="str">
        <f>'CSE1'!P59</f>
        <v/>
      </c>
      <c r="Q59" s="4" t="str">
        <f>'CSE1'!Q59</f>
        <v/>
      </c>
      <c r="R59" s="4" t="str">
        <f>'CSE1'!R59</f>
        <v/>
      </c>
      <c r="S59" s="4" t="str">
        <f>'CSE1'!S59</f>
        <v/>
      </c>
      <c r="T59" s="4" t="str">
        <f>'CSE1'!T59</f>
        <v/>
      </c>
      <c r="U59" s="4" t="str">
        <f>'CSE1'!U59</f>
        <v/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4">
        <v>59.0</v>
      </c>
      <c r="B60" s="4">
        <f>'CSE1'!B60</f>
        <v>160118733301</v>
      </c>
      <c r="C60" s="4" t="str">
        <f>'CSE1'!C60</f>
        <v>Hemalatha Anthareddy</v>
      </c>
      <c r="D60" s="5" t="str">
        <f>'CSE1'!D60</f>
        <v>YES</v>
      </c>
      <c r="E60" s="4" t="str">
        <f>'CSE1'!E60</f>
        <v>JPMC </v>
      </c>
      <c r="F60" s="4" t="str">
        <f>'CSE1'!F60</f>
        <v>14 LPA</v>
      </c>
      <c r="G60" s="4" t="str">
        <f>'CSE1'!G60</f>
        <v/>
      </c>
      <c r="H60" s="4" t="str">
        <f>'CSE1'!H60</f>
        <v/>
      </c>
      <c r="I60" s="4" t="str">
        <f>'CSE1'!I60</f>
        <v/>
      </c>
      <c r="J60" s="4" t="str">
        <f>'CSE1'!J60</f>
        <v/>
      </c>
      <c r="K60" s="4" t="str">
        <f>'CSE1'!K60</f>
        <v/>
      </c>
      <c r="L60" s="4" t="str">
        <f>'CSE1'!L60</f>
        <v/>
      </c>
      <c r="M60" s="4" t="str">
        <f>'CSE1'!M60</f>
        <v/>
      </c>
      <c r="N60" s="4" t="str">
        <f>'CSE1'!N60</f>
        <v/>
      </c>
      <c r="O60" s="4" t="str">
        <f>'CSE1'!O60</f>
        <v/>
      </c>
      <c r="P60" s="4" t="str">
        <f>'CSE1'!P60</f>
        <v/>
      </c>
      <c r="Q60" s="4" t="str">
        <f>'CSE1'!Q60</f>
        <v/>
      </c>
      <c r="R60" s="4" t="str">
        <f>'CSE1'!R60</f>
        <v/>
      </c>
      <c r="S60" s="4" t="str">
        <f>'CSE1'!S60</f>
        <v/>
      </c>
      <c r="T60" s="4" t="str">
        <f>'CSE1'!T60</f>
        <v/>
      </c>
      <c r="U60" s="4" t="str">
        <f>'CSE1'!U60</f>
        <v/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4">
        <v>60.0</v>
      </c>
      <c r="B61" s="4">
        <f>'CSE1'!B61</f>
        <v>160118733302</v>
      </c>
      <c r="C61" s="4" t="str">
        <f>'CSE1'!C61</f>
        <v>K Ganesh Yadav</v>
      </c>
      <c r="D61" s="5" t="str">
        <f>'CSE1'!D61</f>
        <v/>
      </c>
      <c r="E61" s="4" t="str">
        <f>'CSE1'!E61</f>
        <v>LTI (Level 1)</v>
      </c>
      <c r="F61" s="4" t="str">
        <f>'CSE1'!F61</f>
        <v>5 LPA</v>
      </c>
      <c r="G61" s="4" t="str">
        <f>'CSE1'!G61</f>
        <v/>
      </c>
      <c r="H61" s="4" t="str">
        <f>'CSE1'!H61</f>
        <v/>
      </c>
      <c r="I61" s="4" t="str">
        <f>'CSE1'!I61</f>
        <v/>
      </c>
      <c r="J61" s="4" t="str">
        <f>'CSE1'!J61</f>
        <v/>
      </c>
      <c r="K61" s="4" t="str">
        <f>'CSE1'!K61</f>
        <v/>
      </c>
      <c r="L61" s="4" t="str">
        <f>'CSE1'!L61</f>
        <v/>
      </c>
      <c r="M61" s="4" t="str">
        <f>'CSE1'!M61</f>
        <v/>
      </c>
      <c r="N61" s="4" t="str">
        <f>'CSE1'!N61</f>
        <v/>
      </c>
      <c r="O61" s="4" t="str">
        <f>'CSE1'!O61</f>
        <v/>
      </c>
      <c r="P61" s="4" t="str">
        <f>'CSE1'!P61</f>
        <v/>
      </c>
      <c r="Q61" s="4" t="str">
        <f>'CSE1'!Q61</f>
        <v/>
      </c>
      <c r="R61" s="4" t="str">
        <f>'CSE1'!R61</f>
        <v/>
      </c>
      <c r="S61" s="4" t="str">
        <f>'CSE1'!S61</f>
        <v/>
      </c>
      <c r="T61" s="4" t="str">
        <f>'CSE1'!T61</f>
        <v/>
      </c>
      <c r="U61" s="4" t="str">
        <f>'CSE1'!U61</f>
        <v/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4">
        <v>61.0</v>
      </c>
      <c r="B62" s="4">
        <f>'CSE1'!B62</f>
        <v>160118733303</v>
      </c>
      <c r="C62" s="4" t="str">
        <f>'CSE1'!C62</f>
        <v>Harshasri Yennam</v>
      </c>
      <c r="D62" s="5" t="str">
        <f>'CSE1'!D62</f>
        <v>YES</v>
      </c>
      <c r="E62" s="4" t="str">
        <f>'CSE1'!E62</f>
        <v>Accolite</v>
      </c>
      <c r="F62" s="4" t="str">
        <f>'CSE1'!F62</f>
        <v>8 LPA</v>
      </c>
      <c r="G62" s="4" t="str">
        <f>'CSE1'!G62</f>
        <v/>
      </c>
      <c r="H62" s="4" t="str">
        <f>'CSE1'!H62</f>
        <v/>
      </c>
      <c r="I62" s="4" t="str">
        <f>'CSE1'!I62</f>
        <v/>
      </c>
      <c r="J62" s="4" t="str">
        <f>'CSE1'!J62</f>
        <v/>
      </c>
      <c r="K62" s="4" t="str">
        <f>'CSE1'!K62</f>
        <v/>
      </c>
      <c r="L62" s="4" t="str">
        <f>'CSE1'!L62</f>
        <v/>
      </c>
      <c r="M62" s="4" t="str">
        <f>'CSE1'!M62</f>
        <v/>
      </c>
      <c r="N62" s="4" t="str">
        <f>'CSE1'!N62</f>
        <v/>
      </c>
      <c r="O62" s="4" t="str">
        <f>'CSE1'!O62</f>
        <v/>
      </c>
      <c r="P62" s="4" t="str">
        <f>'CSE1'!P62</f>
        <v/>
      </c>
      <c r="Q62" s="4" t="str">
        <f>'CSE1'!Q62</f>
        <v/>
      </c>
      <c r="R62" s="4" t="str">
        <f>'CSE1'!R62</f>
        <v/>
      </c>
      <c r="S62" s="4" t="str">
        <f>'CSE1'!S62</f>
        <v/>
      </c>
      <c r="T62" s="4" t="str">
        <f>'CSE1'!T62</f>
        <v/>
      </c>
      <c r="U62" s="4" t="str">
        <f>'CSE1'!U62</f>
        <v/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4">
        <v>62.0</v>
      </c>
      <c r="B63" s="4">
        <f>'CSE1'!B63</f>
        <v>160118733304</v>
      </c>
      <c r="C63" s="4" t="str">
        <f>'CSE1'!C63</f>
        <v>Sai sumanth Mahadevuni</v>
      </c>
      <c r="D63" s="5" t="str">
        <f>'CSE1'!D63</f>
        <v/>
      </c>
      <c r="E63" s="4" t="str">
        <f>'CSE1'!E63</f>
        <v>Accenture (ASE)</v>
      </c>
      <c r="F63" s="4" t="str">
        <f>'CSE1'!F63</f>
        <v>4.5 LPA</v>
      </c>
      <c r="G63" s="4" t="str">
        <f>'CSE1'!G63</f>
        <v>LTI (Level 1)</v>
      </c>
      <c r="H63" s="4" t="str">
        <f>'CSE1'!H63</f>
        <v>5 LPA</v>
      </c>
      <c r="I63" s="4" t="str">
        <f>'CSE1'!I63</f>
        <v>Wipro</v>
      </c>
      <c r="J63" s="4" t="str">
        <f>'CSE1'!J63</f>
        <v>3.5 LPA</v>
      </c>
      <c r="K63" s="4" t="str">
        <f>'CSE1'!K63</f>
        <v/>
      </c>
      <c r="L63" s="4" t="str">
        <f>'CSE1'!L63</f>
        <v/>
      </c>
      <c r="M63" s="4" t="str">
        <f>'CSE1'!M63</f>
        <v/>
      </c>
      <c r="N63" s="4" t="str">
        <f>'CSE1'!N63</f>
        <v/>
      </c>
      <c r="O63" s="4" t="str">
        <f>'CSE1'!O63</f>
        <v/>
      </c>
      <c r="P63" s="4" t="str">
        <f>'CSE1'!P63</f>
        <v/>
      </c>
      <c r="Q63" s="4" t="str">
        <f>'CSE1'!Q63</f>
        <v/>
      </c>
      <c r="R63" s="4" t="str">
        <f>'CSE1'!R63</f>
        <v/>
      </c>
      <c r="S63" s="4" t="str">
        <f>'CSE1'!S63</f>
        <v/>
      </c>
      <c r="T63" s="4" t="str">
        <f>'CSE1'!T63</f>
        <v/>
      </c>
      <c r="U63" s="4" t="str">
        <f>'CSE1'!U63</f>
        <v/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4">
        <v>63.0</v>
      </c>
      <c r="B64" s="4">
        <f>'CSE1'!B64</f>
        <v>160118733305</v>
      </c>
      <c r="C64" s="4" t="str">
        <f>'CSE1'!C64</f>
        <v>Gouthami Gongidi</v>
      </c>
      <c r="D64" s="5" t="str">
        <f>'CSE1'!D64</f>
        <v/>
      </c>
      <c r="E64" s="4" t="str">
        <f>'CSE1'!E64</f>
        <v>Deloitte (Consulting)</v>
      </c>
      <c r="F64" s="4" t="str">
        <f>'CSE1'!F64</f>
        <v>7.6 LPA</v>
      </c>
      <c r="G64" s="4" t="str">
        <f>'CSE1'!G64</f>
        <v/>
      </c>
      <c r="H64" s="4" t="str">
        <f>'CSE1'!H64</f>
        <v/>
      </c>
      <c r="I64" s="4" t="str">
        <f>'CSE1'!I64</f>
        <v/>
      </c>
      <c r="J64" s="4" t="str">
        <f>'CSE1'!J64</f>
        <v/>
      </c>
      <c r="K64" s="4" t="str">
        <f>'CSE1'!K64</f>
        <v/>
      </c>
      <c r="L64" s="4" t="str">
        <f>'CSE1'!L64</f>
        <v/>
      </c>
      <c r="M64" s="4" t="str">
        <f>'CSE1'!M64</f>
        <v/>
      </c>
      <c r="N64" s="4" t="str">
        <f>'CSE1'!N64</f>
        <v/>
      </c>
      <c r="O64" s="4" t="str">
        <f>'CSE1'!O64</f>
        <v/>
      </c>
      <c r="P64" s="4" t="str">
        <f>'CSE1'!P64</f>
        <v/>
      </c>
      <c r="Q64" s="4" t="str">
        <f>'CSE1'!Q64</f>
        <v/>
      </c>
      <c r="R64" s="4" t="str">
        <f>'CSE1'!R64</f>
        <v/>
      </c>
      <c r="S64" s="4" t="str">
        <f>'CSE1'!S64</f>
        <v/>
      </c>
      <c r="T64" s="4" t="str">
        <f>'CSE1'!T64</f>
        <v/>
      </c>
      <c r="U64" s="4" t="str">
        <f>'CSE1'!U64</f>
        <v/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4">
        <v>64.0</v>
      </c>
      <c r="B65" s="4">
        <f>'CSE1'!B65</f>
        <v>160118733306</v>
      </c>
      <c r="C65" s="4" t="str">
        <f>'CSE1'!C65</f>
        <v>Battu Sainath</v>
      </c>
      <c r="D65" s="5" t="str">
        <f>'CSE1'!D65</f>
        <v/>
      </c>
      <c r="E65" s="4" t="str">
        <f>'CSE1'!E65</f>
        <v>Wipro</v>
      </c>
      <c r="F65" s="4" t="str">
        <f>'CSE1'!F65</f>
        <v>3.5 LPA</v>
      </c>
      <c r="G65" s="4" t="str">
        <f>'CSE1'!G65</f>
        <v/>
      </c>
      <c r="H65" s="4" t="str">
        <f>'CSE1'!H65</f>
        <v/>
      </c>
      <c r="I65" s="4" t="str">
        <f>'CSE1'!I65</f>
        <v/>
      </c>
      <c r="J65" s="4" t="str">
        <f>'CSE1'!J65</f>
        <v/>
      </c>
      <c r="K65" s="4" t="str">
        <f>'CSE1'!K65</f>
        <v/>
      </c>
      <c r="L65" s="4" t="str">
        <f>'CSE1'!L65</f>
        <v/>
      </c>
      <c r="M65" s="4" t="str">
        <f>'CSE1'!M65</f>
        <v/>
      </c>
      <c r="N65" s="4" t="str">
        <f>'CSE1'!N65</f>
        <v/>
      </c>
      <c r="O65" s="4" t="str">
        <f>'CSE1'!O65</f>
        <v/>
      </c>
      <c r="P65" s="4" t="str">
        <f>'CSE1'!P65</f>
        <v/>
      </c>
      <c r="Q65" s="4" t="str">
        <f>'CSE1'!Q65</f>
        <v/>
      </c>
      <c r="R65" s="4" t="str">
        <f>'CSE1'!R65</f>
        <v/>
      </c>
      <c r="S65" s="4" t="str">
        <f>'CSE1'!S65</f>
        <v/>
      </c>
      <c r="T65" s="4" t="str">
        <f>'CSE1'!T65</f>
        <v/>
      </c>
      <c r="U65" s="4" t="str">
        <f>'CSE1'!U65</f>
        <v/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4">
        <v>65.0</v>
      </c>
      <c r="B66" s="4">
        <f>'CSE1'!B66</f>
        <v>160117733015</v>
      </c>
      <c r="C66" s="4" t="str">
        <f>'CSE1'!C66</f>
        <v>Revu Sai Roopa Amrutha</v>
      </c>
      <c r="D66" s="5" t="str">
        <f>'CSE1'!D66</f>
        <v/>
      </c>
      <c r="E66" s="4" t="str">
        <f>'CSE1'!E66</f>
        <v>Deloitte (Consulting)</v>
      </c>
      <c r="F66" s="4" t="str">
        <f>'CSE1'!F66</f>
        <v>7.6 LPA</v>
      </c>
      <c r="G66" s="4" t="str">
        <f>'CSE1'!G66</f>
        <v>Barclays</v>
      </c>
      <c r="H66" s="4" t="str">
        <f>'CSE1'!H66</f>
        <v>12.73 LPA</v>
      </c>
      <c r="I66" s="4" t="str">
        <f>'CSE1'!I66</f>
        <v>Infosys (DSE)</v>
      </c>
      <c r="J66" s="4" t="str">
        <f>'CSE1'!J66</f>
        <v>5 LPA</v>
      </c>
      <c r="K66" s="4" t="str">
        <f>'CSE1'!K66</f>
        <v>Accenture (ASE)</v>
      </c>
      <c r="L66" s="4" t="str">
        <f>'CSE1'!L66</f>
        <v>4.5 LPA</v>
      </c>
      <c r="M66" s="4" t="str">
        <f>'CSE1'!M66</f>
        <v/>
      </c>
      <c r="N66" s="4" t="str">
        <f>'CSE1'!N66</f>
        <v/>
      </c>
      <c r="O66" s="4" t="str">
        <f>'CSE1'!O66</f>
        <v/>
      </c>
      <c r="P66" s="4" t="str">
        <f>'CSE1'!P66</f>
        <v/>
      </c>
      <c r="Q66" s="4" t="str">
        <f>'CSE1'!Q66</f>
        <v/>
      </c>
      <c r="R66" s="4" t="str">
        <f>'CSE1'!R66</f>
        <v/>
      </c>
      <c r="S66" s="4" t="str">
        <f>'CSE1'!S66</f>
        <v/>
      </c>
      <c r="T66" s="4" t="str">
        <f>'CSE1'!T66</f>
        <v/>
      </c>
      <c r="U66" s="4" t="str">
        <f>'CSE1'!U66</f>
        <v/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4">
        <v>66.0</v>
      </c>
      <c r="B67" s="4">
        <f>'CSE1'!B67</f>
        <v>160117733027</v>
      </c>
      <c r="C67" s="4" t="str">
        <f>'CSE1'!C67</f>
        <v>MULLAPUDI CHANDRA BABU</v>
      </c>
      <c r="D67" s="5" t="str">
        <f>'CSE1'!D67</f>
        <v/>
      </c>
      <c r="E67" s="4" t="str">
        <f>'CSE1'!E67</f>
        <v/>
      </c>
      <c r="F67" s="4" t="str">
        <f>'CSE1'!F67</f>
        <v/>
      </c>
      <c r="G67" s="4" t="str">
        <f>'CSE1'!G67</f>
        <v/>
      </c>
      <c r="H67" s="4" t="str">
        <f>'CSE1'!H67</f>
        <v/>
      </c>
      <c r="I67" s="4" t="str">
        <f>'CSE1'!I67</f>
        <v/>
      </c>
      <c r="J67" s="4" t="str">
        <f>'CSE1'!J67</f>
        <v/>
      </c>
      <c r="K67" s="4" t="str">
        <f>'CSE1'!K67</f>
        <v/>
      </c>
      <c r="L67" s="4" t="str">
        <f>'CSE1'!L67</f>
        <v/>
      </c>
      <c r="M67" s="4" t="str">
        <f>'CSE1'!M67</f>
        <v/>
      </c>
      <c r="N67" s="4" t="str">
        <f>'CSE1'!N67</f>
        <v/>
      </c>
      <c r="O67" s="4" t="str">
        <f>'CSE1'!O67</f>
        <v/>
      </c>
      <c r="P67" s="4" t="str">
        <f>'CSE1'!P67</f>
        <v/>
      </c>
      <c r="Q67" s="4" t="str">
        <f>'CSE1'!Q67</f>
        <v/>
      </c>
      <c r="R67" s="4" t="str">
        <f>'CSE1'!R67</f>
        <v/>
      </c>
      <c r="S67" s="4" t="str">
        <f>'CSE1'!S67</f>
        <v/>
      </c>
      <c r="T67" s="4" t="str">
        <f>'CSE1'!T67</f>
        <v/>
      </c>
      <c r="U67" s="4" t="str">
        <f>'CSE1'!U67</f>
        <v/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4">
        <v>67.0</v>
      </c>
      <c r="B68" s="4">
        <f>'CSE1'!B68</f>
        <v>160117733035</v>
      </c>
      <c r="C68" s="4" t="str">
        <f>'CSE1'!C68</f>
        <v>Baddam Nithin reddy</v>
      </c>
      <c r="D68" s="5" t="str">
        <f>'CSE1'!D68</f>
        <v/>
      </c>
      <c r="E68" s="4" t="str">
        <f>'CSE1'!E68</f>
        <v/>
      </c>
      <c r="F68" s="4" t="str">
        <f>'CSE1'!F68</f>
        <v/>
      </c>
      <c r="G68" s="4" t="str">
        <f>'CSE1'!G68</f>
        <v/>
      </c>
      <c r="H68" s="4" t="str">
        <f>'CSE1'!H68</f>
        <v/>
      </c>
      <c r="I68" s="4" t="str">
        <f>'CSE1'!I68</f>
        <v/>
      </c>
      <c r="J68" s="4" t="str">
        <f>'CSE1'!J68</f>
        <v/>
      </c>
      <c r="K68" s="4" t="str">
        <f>'CSE1'!K68</f>
        <v/>
      </c>
      <c r="L68" s="4" t="str">
        <f>'CSE1'!L68</f>
        <v/>
      </c>
      <c r="M68" s="4" t="str">
        <f>'CSE1'!M68</f>
        <v/>
      </c>
      <c r="N68" s="4" t="str">
        <f>'CSE1'!N68</f>
        <v/>
      </c>
      <c r="O68" s="4" t="str">
        <f>'CSE1'!O68</f>
        <v/>
      </c>
      <c r="P68" s="4" t="str">
        <f>'CSE1'!P68</f>
        <v/>
      </c>
      <c r="Q68" s="4" t="str">
        <f>'CSE1'!Q68</f>
        <v/>
      </c>
      <c r="R68" s="4" t="str">
        <f>'CSE1'!R68</f>
        <v/>
      </c>
      <c r="S68" s="4" t="str">
        <f>'CSE1'!S68</f>
        <v/>
      </c>
      <c r="T68" s="4" t="str">
        <f>'CSE1'!T68</f>
        <v/>
      </c>
      <c r="U68" s="4" t="str">
        <f>'CSE1'!U68</f>
        <v/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4">
        <v>68.0</v>
      </c>
      <c r="B69" s="4">
        <f>'CSE1'!B69</f>
        <v>160117733039</v>
      </c>
      <c r="C69" s="4" t="str">
        <f>'CSE1'!C69</f>
        <v>N.Rohith Reddy</v>
      </c>
      <c r="D69" s="5" t="str">
        <f>'CSE1'!D69</f>
        <v/>
      </c>
      <c r="E69" s="4" t="str">
        <f>'CSE1'!E69</f>
        <v/>
      </c>
      <c r="F69" s="4" t="str">
        <f>'CSE1'!F69</f>
        <v/>
      </c>
      <c r="G69" s="4" t="str">
        <f>'CSE1'!G69</f>
        <v/>
      </c>
      <c r="H69" s="4" t="str">
        <f>'CSE1'!H69</f>
        <v/>
      </c>
      <c r="I69" s="4" t="str">
        <f>'CSE1'!I69</f>
        <v/>
      </c>
      <c r="J69" s="4" t="str">
        <f>'CSE1'!J69</f>
        <v/>
      </c>
      <c r="K69" s="4" t="str">
        <f>'CSE1'!K69</f>
        <v/>
      </c>
      <c r="L69" s="4" t="str">
        <f>'CSE1'!L69</f>
        <v/>
      </c>
      <c r="M69" s="4" t="str">
        <f>'CSE1'!M69</f>
        <v/>
      </c>
      <c r="N69" s="4" t="str">
        <f>'CSE1'!N69</f>
        <v/>
      </c>
      <c r="O69" s="4" t="str">
        <f>'CSE1'!O69</f>
        <v/>
      </c>
      <c r="P69" s="4" t="str">
        <f>'CSE1'!P69</f>
        <v/>
      </c>
      <c r="Q69" s="4" t="str">
        <f>'CSE1'!Q69</f>
        <v/>
      </c>
      <c r="R69" s="4" t="str">
        <f>'CSE1'!R69</f>
        <v/>
      </c>
      <c r="S69" s="4" t="str">
        <f>'CSE1'!S69</f>
        <v/>
      </c>
      <c r="T69" s="4" t="str">
        <f>'CSE1'!T69</f>
        <v/>
      </c>
      <c r="U69" s="4" t="str">
        <f>'CSE1'!U69</f>
        <v/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4">
        <v>69.0</v>
      </c>
      <c r="B70" s="4">
        <f>'CSE1'!B70</f>
        <v>160115733025</v>
      </c>
      <c r="C70" s="4" t="str">
        <f>'CSE1'!C70</f>
        <v>Bharath Kotipalli</v>
      </c>
      <c r="D70" s="5" t="str">
        <f>'CSE1'!D70</f>
        <v/>
      </c>
      <c r="E70" s="4" t="str">
        <f>'CSE1'!E70</f>
        <v>Wipro</v>
      </c>
      <c r="F70" s="4" t="str">
        <f>'CSE1'!F70</f>
        <v>3.5 LPA</v>
      </c>
      <c r="G70" s="4" t="str">
        <f>'CSE1'!G70</f>
        <v>Infosys (SE)</v>
      </c>
      <c r="H70" s="4" t="str">
        <f>'CSE1'!H70</f>
        <v>3.6 LPA</v>
      </c>
      <c r="I70" s="4" t="str">
        <f>'CSE1'!I70</f>
        <v>Pwc Acceleration</v>
      </c>
      <c r="J70" s="4" t="str">
        <f>'CSE1'!J70</f>
        <v>6 LPA</v>
      </c>
      <c r="K70" s="4" t="str">
        <f>'CSE1'!K70</f>
        <v>Invesco</v>
      </c>
      <c r="L70" s="4" t="str">
        <f>'CSE1'!L70</f>
        <v>9 LPA</v>
      </c>
      <c r="M70" s="4" t="str">
        <f>'CSE1'!M70</f>
        <v>Samsung (internship)</v>
      </c>
      <c r="N70" s="4" t="str">
        <f>'CSE1'!N70</f>
        <v>30k</v>
      </c>
      <c r="O70" s="4" t="str">
        <f>'CSE1'!O70</f>
        <v/>
      </c>
      <c r="P70" s="4" t="str">
        <f>'CSE1'!P70</f>
        <v/>
      </c>
      <c r="Q70" s="4" t="str">
        <f>'CSE1'!Q70</f>
        <v/>
      </c>
      <c r="R70" s="4" t="str">
        <f>'CSE1'!R70</f>
        <v/>
      </c>
      <c r="S70" s="4" t="str">
        <f>'CSE1'!S70</f>
        <v/>
      </c>
      <c r="T70" s="4" t="str">
        <f>'CSE1'!T70</f>
        <v/>
      </c>
      <c r="U70" s="4" t="str">
        <f>'CSE1'!U70</f>
        <v/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4">
        <v>70.0</v>
      </c>
      <c r="B71" s="4" t="str">
        <f>'CSE1'!B71</f>
        <v/>
      </c>
      <c r="C71" s="4" t="str">
        <f>'CSE1'!C71</f>
        <v/>
      </c>
      <c r="D71" s="5" t="str">
        <f>'CSE1'!D71</f>
        <v/>
      </c>
      <c r="E71" s="4" t="str">
        <f>'CSE1'!E71</f>
        <v/>
      </c>
      <c r="F71" s="4" t="str">
        <f>'CSE1'!F71</f>
        <v/>
      </c>
      <c r="G71" s="4" t="str">
        <f>'CSE1'!G71</f>
        <v/>
      </c>
      <c r="H71" s="4" t="str">
        <f>'CSE1'!H71</f>
        <v/>
      </c>
      <c r="I71" s="4" t="str">
        <f>'CSE1'!I71</f>
        <v/>
      </c>
      <c r="J71" s="4" t="str">
        <f>'CSE1'!J71</f>
        <v/>
      </c>
      <c r="K71" s="4" t="str">
        <f>'CSE1'!K71</f>
        <v/>
      </c>
      <c r="L71" s="4" t="str">
        <f>'CSE1'!L71</f>
        <v/>
      </c>
      <c r="M71" s="4" t="str">
        <f>'CSE1'!M71</f>
        <v/>
      </c>
      <c r="N71" s="4" t="str">
        <f>'CSE1'!N71</f>
        <v/>
      </c>
      <c r="O71" s="4" t="str">
        <f>'CSE1'!O71</f>
        <v/>
      </c>
      <c r="P71" s="4" t="str">
        <f>'CSE1'!P71</f>
        <v/>
      </c>
      <c r="Q71" s="4" t="str">
        <f>'CSE1'!Q71</f>
        <v/>
      </c>
      <c r="R71" s="4" t="str">
        <f>'CSE1'!R71</f>
        <v/>
      </c>
      <c r="S71" s="4" t="str">
        <f>'CSE1'!S71</f>
        <v/>
      </c>
      <c r="T71" s="4" t="str">
        <f>'CSE1'!T71</f>
        <v/>
      </c>
      <c r="U71" s="4" t="str">
        <f>'CSE1'!U71</f>
        <v/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4">
        <v>71.0</v>
      </c>
      <c r="B72" s="4" t="str">
        <f>'CSE1'!B72</f>
        <v/>
      </c>
      <c r="C72" s="4" t="str">
        <f>'CSE1'!C72</f>
        <v>Total Number of Students Placed</v>
      </c>
      <c r="D72" s="5">
        <f>'CSE1'!D72</f>
        <v>56</v>
      </c>
      <c r="E72" s="4" t="str">
        <f>'CSE1'!E72</f>
        <v/>
      </c>
      <c r="F72" s="4" t="str">
        <f>'CSE1'!F72</f>
        <v/>
      </c>
      <c r="G72" s="4" t="str">
        <f>'CSE1'!G72</f>
        <v/>
      </c>
      <c r="H72" s="4" t="str">
        <f>'CSE1'!H72</f>
        <v/>
      </c>
      <c r="I72" s="4" t="str">
        <f>'CSE1'!I72</f>
        <v/>
      </c>
      <c r="J72" s="4" t="str">
        <f>'CSE1'!J72</f>
        <v/>
      </c>
      <c r="K72" s="4" t="str">
        <f>'CSE1'!K72</f>
        <v/>
      </c>
      <c r="L72" s="4" t="str">
        <f>'CSE1'!L72</f>
        <v/>
      </c>
      <c r="M72" s="4" t="str">
        <f>'CSE1'!M72</f>
        <v/>
      </c>
      <c r="N72" s="4" t="str">
        <f>'CSE1'!N72</f>
        <v/>
      </c>
      <c r="O72" s="4" t="str">
        <f>'CSE1'!O72</f>
        <v/>
      </c>
      <c r="P72" s="4" t="str">
        <f>'CSE1'!P72</f>
        <v/>
      </c>
      <c r="Q72" s="4" t="str">
        <f>'CSE1'!Q72</f>
        <v/>
      </c>
      <c r="R72" s="4" t="str">
        <f>'CSE1'!R72</f>
        <v/>
      </c>
      <c r="S72" s="4" t="str">
        <f>'CSE1'!S72</f>
        <v/>
      </c>
      <c r="T72" s="4" t="str">
        <f>'CSE1'!T72</f>
        <v/>
      </c>
      <c r="U72" s="4" t="str">
        <f>'CSE1'!U72</f>
        <v/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4">
        <v>72.0</v>
      </c>
      <c r="B73" s="4" t="str">
        <f>'CSE1'!B73</f>
        <v/>
      </c>
      <c r="C73" s="4" t="str">
        <f>'CSE1'!C73</f>
        <v/>
      </c>
      <c r="D73" s="5" t="str">
        <f>'CSE1'!D73</f>
        <v/>
      </c>
      <c r="E73" s="4" t="str">
        <f>'CSE1'!E73</f>
        <v/>
      </c>
      <c r="F73" s="4" t="str">
        <f>'CSE1'!F73</f>
        <v/>
      </c>
      <c r="G73" s="4" t="str">
        <f>'CSE1'!G73</f>
        <v/>
      </c>
      <c r="H73" s="4" t="str">
        <f>'CSE1'!H73</f>
        <v/>
      </c>
      <c r="I73" s="4" t="str">
        <f>'CSE1'!I73</f>
        <v/>
      </c>
      <c r="J73" s="4" t="str">
        <f>'CSE1'!J73</f>
        <v/>
      </c>
      <c r="K73" s="4" t="str">
        <f>'CSE1'!K73</f>
        <v/>
      </c>
      <c r="L73" s="4" t="str">
        <f>'CSE1'!L73</f>
        <v/>
      </c>
      <c r="M73" s="4" t="str">
        <f>'CSE1'!M73</f>
        <v/>
      </c>
      <c r="N73" s="4" t="str">
        <f>'CSE1'!N73</f>
        <v/>
      </c>
      <c r="O73" s="4" t="str">
        <f>'CSE1'!O73</f>
        <v/>
      </c>
      <c r="P73" s="4" t="str">
        <f>'CSE1'!P73</f>
        <v/>
      </c>
      <c r="Q73" s="4" t="str">
        <f>'CSE1'!Q73</f>
        <v/>
      </c>
      <c r="R73" s="4" t="str">
        <f>'CSE1'!R73</f>
        <v/>
      </c>
      <c r="S73" s="4" t="str">
        <f>'CSE1'!S73</f>
        <v/>
      </c>
      <c r="T73" s="4" t="str">
        <f>'CSE1'!T73</f>
        <v/>
      </c>
      <c r="U73" s="4" t="str">
        <f>'CSE1'!U73</f>
        <v/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4">
        <v>73.0</v>
      </c>
      <c r="B74" s="4" t="str">
        <f>'CSE1'!B74</f>
        <v/>
      </c>
      <c r="C74" s="4" t="str">
        <f>'CSE1'!C74</f>
        <v/>
      </c>
      <c r="D74" s="5" t="str">
        <f>'CSE1'!D74</f>
        <v/>
      </c>
      <c r="E74" s="4" t="str">
        <f>'CSE1'!E74</f>
        <v/>
      </c>
      <c r="F74" s="4" t="str">
        <f>'CSE1'!F74</f>
        <v/>
      </c>
      <c r="G74" s="4" t="str">
        <f>'CSE1'!G74</f>
        <v/>
      </c>
      <c r="H74" s="4" t="str">
        <f>'CSE1'!H74</f>
        <v/>
      </c>
      <c r="I74" s="4" t="str">
        <f>'CSE1'!I74</f>
        <v/>
      </c>
      <c r="J74" s="4" t="str">
        <f>'CSE1'!J74</f>
        <v/>
      </c>
      <c r="K74" s="4" t="str">
        <f>'CSE1'!K74</f>
        <v/>
      </c>
      <c r="L74" s="4" t="str">
        <f>'CSE1'!L74</f>
        <v/>
      </c>
      <c r="M74" s="4" t="str">
        <f>'CSE1'!M74</f>
        <v/>
      </c>
      <c r="N74" s="4" t="str">
        <f>'CSE1'!N74</f>
        <v/>
      </c>
      <c r="O74" s="4" t="str">
        <f>'CSE1'!O74</f>
        <v/>
      </c>
      <c r="P74" s="4" t="str">
        <f>'CSE1'!P74</f>
        <v/>
      </c>
      <c r="Q74" s="4" t="str">
        <f>'CSE1'!Q74</f>
        <v/>
      </c>
      <c r="R74" s="4" t="str">
        <f>'CSE1'!R74</f>
        <v/>
      </c>
      <c r="S74" s="4" t="str">
        <f>'CSE1'!S74</f>
        <v/>
      </c>
      <c r="T74" s="4" t="str">
        <f>'CSE1'!T74</f>
        <v/>
      </c>
      <c r="U74" s="4" t="str">
        <f>'CSE1'!U74</f>
        <v/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4">
        <v>74.0</v>
      </c>
      <c r="B75" s="3">
        <f>'CSE2'!B2</f>
        <v>160118733061</v>
      </c>
      <c r="C75" s="3" t="str">
        <f>'CSE2'!C2</f>
        <v>Akhila Patlolla</v>
      </c>
      <c r="D75" s="7" t="str">
        <f>'CSE2'!D2</f>
        <v/>
      </c>
      <c r="E75" s="3" t="str">
        <f>'CSE2'!E2</f>
        <v>Wipro</v>
      </c>
      <c r="F75" s="3" t="str">
        <f>'CSE2'!F2</f>
        <v>3.5 LPA</v>
      </c>
      <c r="G75" s="3" t="str">
        <f>'CSE2'!G2</f>
        <v>Mu Sigma</v>
      </c>
      <c r="H75" s="3" t="str">
        <f>'CSE2'!H2</f>
        <v>3.5 LPA</v>
      </c>
      <c r="I75" s="3" t="str">
        <f>'CSE2'!I2</f>
        <v/>
      </c>
      <c r="J75" s="3" t="str">
        <f>'CSE2'!J2</f>
        <v/>
      </c>
      <c r="K75" s="3" t="str">
        <f>'CSE2'!K2</f>
        <v/>
      </c>
      <c r="L75" s="3" t="str">
        <f>'CSE2'!L2</f>
        <v/>
      </c>
      <c r="M75" s="3" t="str">
        <f>'CSE2'!M2</f>
        <v/>
      </c>
      <c r="N75" s="3" t="str">
        <f>'CSE2'!N2</f>
        <v/>
      </c>
      <c r="O75" s="3" t="str">
        <f>'CSE2'!O2</f>
        <v/>
      </c>
      <c r="P75" s="3" t="str">
        <f>'CSE2'!P2</f>
        <v/>
      </c>
      <c r="Q75" s="3" t="str">
        <f>'CSE2'!Q2</f>
        <v/>
      </c>
      <c r="R75" s="3" t="str">
        <f>'CSE2'!R2</f>
        <v/>
      </c>
      <c r="S75" s="3" t="str">
        <f>'CSE2'!S2</f>
        <v/>
      </c>
      <c r="T75" s="3" t="str">
        <f>'CSE2'!T2</f>
        <v/>
      </c>
      <c r="U75" s="3" t="str">
        <f>'CSE2'!U2</f>
        <v/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4">
        <v>75.0</v>
      </c>
      <c r="B76" s="3">
        <f>'CSE2'!B3</f>
        <v>160118733062</v>
      </c>
      <c r="C76" s="3" t="str">
        <f>'CSE2'!C3</f>
        <v>Bhavishya Agarwal</v>
      </c>
      <c r="D76" s="7" t="str">
        <f>'CSE2'!D3</f>
        <v>YES</v>
      </c>
      <c r="E76" s="3" t="str">
        <f>'CSE2'!E3</f>
        <v>SalesForce</v>
      </c>
      <c r="F76" s="3" t="str">
        <f>'CSE2'!F3</f>
        <v>19.65 LPA</v>
      </c>
      <c r="G76" s="3" t="str">
        <f>'CSE2'!G3</f>
        <v>Infosys (SE)</v>
      </c>
      <c r="H76" s="3" t="str">
        <f>'CSE2'!H3</f>
        <v>3.6 LPA</v>
      </c>
      <c r="I76" s="3" t="str">
        <f>'CSE2'!I3</f>
        <v>Caspian Debt (Internship)</v>
      </c>
      <c r="J76" s="3" t="str">
        <f>'CSE2'!J3</f>
        <v>15K</v>
      </c>
      <c r="K76" s="3" t="str">
        <f>'CSE2'!K3</f>
        <v/>
      </c>
      <c r="L76" s="3" t="str">
        <f>'CSE2'!L3</f>
        <v/>
      </c>
      <c r="M76" s="3" t="str">
        <f>'CSE2'!M3</f>
        <v/>
      </c>
      <c r="N76" s="3" t="str">
        <f>'CSE2'!N3</f>
        <v/>
      </c>
      <c r="O76" s="3" t="str">
        <f>'CSE2'!O3</f>
        <v/>
      </c>
      <c r="P76" s="3" t="str">
        <f>'CSE2'!P3</f>
        <v/>
      </c>
      <c r="Q76" s="3" t="str">
        <f>'CSE2'!Q3</f>
        <v/>
      </c>
      <c r="R76" s="3" t="str">
        <f>'CSE2'!R3</f>
        <v/>
      </c>
      <c r="S76" s="3" t="str">
        <f>'CSE2'!S3</f>
        <v/>
      </c>
      <c r="T76" s="3" t="str">
        <f>'CSE2'!T3</f>
        <v/>
      </c>
      <c r="U76" s="3" t="str">
        <f>'CSE2'!U3</f>
        <v/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4">
        <v>76.0</v>
      </c>
      <c r="B77" s="3">
        <f>'CSE2'!B4</f>
        <v>160118733063</v>
      </c>
      <c r="C77" s="3" t="str">
        <f>'CSE2'!C4</f>
        <v>Harshitha Dendeti</v>
      </c>
      <c r="D77" s="7" t="str">
        <f>'CSE2'!D4</f>
        <v>YES</v>
      </c>
      <c r="E77" s="3" t="str">
        <f>'CSE2'!E4</f>
        <v>Cognizant GenC Elevate</v>
      </c>
      <c r="F77" s="3" t="str">
        <f>'CSE2'!F4</f>
        <v>4 LPA</v>
      </c>
      <c r="G77" s="3" t="str">
        <f>'CSE2'!G4</f>
        <v/>
      </c>
      <c r="H77" s="3" t="str">
        <f>'CSE2'!H4</f>
        <v/>
      </c>
      <c r="I77" s="3" t="str">
        <f>'CSE2'!I4</f>
        <v/>
      </c>
      <c r="J77" s="3" t="str">
        <f>'CSE2'!J4</f>
        <v/>
      </c>
      <c r="K77" s="3" t="str">
        <f>'CSE2'!K4</f>
        <v/>
      </c>
      <c r="L77" s="3" t="str">
        <f>'CSE2'!L4</f>
        <v/>
      </c>
      <c r="M77" s="3" t="str">
        <f>'CSE2'!M4</f>
        <v/>
      </c>
      <c r="N77" s="3" t="str">
        <f>'CSE2'!N4</f>
        <v/>
      </c>
      <c r="O77" s="3" t="str">
        <f>'CSE2'!O4</f>
        <v/>
      </c>
      <c r="P77" s="3" t="str">
        <f>'CSE2'!P4</f>
        <v/>
      </c>
      <c r="Q77" s="3" t="str">
        <f>'CSE2'!Q4</f>
        <v/>
      </c>
      <c r="R77" s="3" t="str">
        <f>'CSE2'!R4</f>
        <v/>
      </c>
      <c r="S77" s="3" t="str">
        <f>'CSE2'!S4</f>
        <v/>
      </c>
      <c r="T77" s="3" t="str">
        <f>'CSE2'!T4</f>
        <v/>
      </c>
      <c r="U77" s="3" t="str">
        <f>'CSE2'!U4</f>
        <v/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4">
        <v>77.0</v>
      </c>
      <c r="B78" s="3">
        <f>'CSE2'!B5</f>
        <v>160118733064</v>
      </c>
      <c r="C78" s="3" t="str">
        <f>'CSE2'!C5</f>
        <v>Jahnavi Jonnalagadda</v>
      </c>
      <c r="D78" s="7" t="str">
        <f>'CSE2'!D5</f>
        <v/>
      </c>
      <c r="E78" s="3" t="str">
        <f>'CSE2'!E5</f>
        <v>Advance Auto Parts (PPO)</v>
      </c>
      <c r="F78" s="3" t="str">
        <f>'CSE2'!F5</f>
        <v>9 LPA</v>
      </c>
      <c r="G78" s="3" t="str">
        <f>'CSE2'!G5</f>
        <v>F5 Inc</v>
      </c>
      <c r="H78" s="3" t="str">
        <f>'CSE2'!H5</f>
        <v>23 LPA</v>
      </c>
      <c r="I78" s="3" t="str">
        <f>'CSE2'!I5</f>
        <v/>
      </c>
      <c r="J78" s="3" t="str">
        <f>'CSE2'!J5</f>
        <v/>
      </c>
      <c r="K78" s="3" t="str">
        <f>'CSE2'!K5</f>
        <v/>
      </c>
      <c r="L78" s="3" t="str">
        <f>'CSE2'!L5</f>
        <v/>
      </c>
      <c r="M78" s="3" t="str">
        <f>'CSE2'!M5</f>
        <v/>
      </c>
      <c r="N78" s="3" t="str">
        <f>'CSE2'!N5</f>
        <v/>
      </c>
      <c r="O78" s="3" t="str">
        <f>'CSE2'!O5</f>
        <v/>
      </c>
      <c r="P78" s="3" t="str">
        <f>'CSE2'!P5</f>
        <v/>
      </c>
      <c r="Q78" s="3" t="str">
        <f>'CSE2'!Q5</f>
        <v/>
      </c>
      <c r="R78" s="3" t="str">
        <f>'CSE2'!R5</f>
        <v/>
      </c>
      <c r="S78" s="3" t="str">
        <f>'CSE2'!S5</f>
        <v/>
      </c>
      <c r="T78" s="3" t="str">
        <f>'CSE2'!T5</f>
        <v/>
      </c>
      <c r="U78" s="3" t="str">
        <f>'CSE2'!U5</f>
        <v/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4">
        <v>78.0</v>
      </c>
      <c r="B79" s="3">
        <f>'CSE2'!B6</f>
        <v>160118733065</v>
      </c>
      <c r="C79" s="3" t="str">
        <f>'CSE2'!C6</f>
        <v>Keerthi Boya</v>
      </c>
      <c r="D79" s="7" t="str">
        <f>'CSE2'!D6</f>
        <v>YES</v>
      </c>
      <c r="E79" s="3" t="str">
        <f>'CSE2'!E6</f>
        <v>Accenture (ASE)</v>
      </c>
      <c r="F79" s="3" t="str">
        <f>'CSE2'!F6</f>
        <v>4.5 LPA</v>
      </c>
      <c r="G79" s="3" t="str">
        <f>'CSE2'!G6</f>
        <v>Wipro</v>
      </c>
      <c r="H79" s="3" t="str">
        <f>'CSE2'!H6</f>
        <v>3.5 LPA</v>
      </c>
      <c r="I79" s="3" t="str">
        <f>'CSE2'!I6</f>
        <v>Collins Aerospace (Internship)</v>
      </c>
      <c r="J79" s="3" t="str">
        <f>'CSE2'!J6</f>
        <v>6.25 LPA</v>
      </c>
      <c r="K79" s="3" t="str">
        <f>'CSE2'!K6</f>
        <v>Ford Motors</v>
      </c>
      <c r="L79" s="3" t="str">
        <f>'CSE2'!L6</f>
        <v>5.7 LPA</v>
      </c>
      <c r="M79" s="4" t="s">
        <v>15</v>
      </c>
      <c r="N79" s="4" t="s">
        <v>16</v>
      </c>
      <c r="O79" s="3" t="str">
        <f>'CSE2'!O6</f>
        <v>Head Digital Works</v>
      </c>
      <c r="P79" s="3" t="str">
        <f>'CSE2'!P6</f>
        <v>12 LPA</v>
      </c>
      <c r="Q79" s="3" t="str">
        <f>'CSE2'!Q6</f>
        <v/>
      </c>
      <c r="R79" s="3" t="str">
        <f>'CSE2'!R6</f>
        <v/>
      </c>
      <c r="S79" s="3" t="str">
        <f>'CSE2'!S6</f>
        <v/>
      </c>
      <c r="T79" s="3" t="str">
        <f>'CSE2'!T6</f>
        <v/>
      </c>
      <c r="U79" s="3" t="str">
        <f>'CSE2'!U6</f>
        <v/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4">
        <v>79.0</v>
      </c>
      <c r="B80" s="3">
        <f>'CSE2'!B7</f>
        <v>160118733066</v>
      </c>
      <c r="C80" s="3" t="str">
        <f>'CSE2'!C7</f>
        <v>Kini Sanjula Dasari</v>
      </c>
      <c r="D80" s="7" t="str">
        <f>'CSE2'!D7</f>
        <v/>
      </c>
      <c r="E80" s="3" t="str">
        <f>'CSE2'!E7</f>
        <v>Deloitte (Consulting)</v>
      </c>
      <c r="F80" s="3" t="str">
        <f>'CSE2'!F7</f>
        <v>7.6 LPA</v>
      </c>
      <c r="G80" s="3" t="str">
        <f>'CSE2'!G7</f>
        <v>Barclays</v>
      </c>
      <c r="H80" s="3" t="str">
        <f>'CSE2'!H7</f>
        <v>12.73 LPA</v>
      </c>
      <c r="I80" s="3" t="str">
        <f>'CSE2'!I7</f>
        <v/>
      </c>
      <c r="J80" s="3" t="str">
        <f>'CSE2'!J7</f>
        <v/>
      </c>
      <c r="K80" s="3" t="str">
        <f>'CSE2'!K7</f>
        <v/>
      </c>
      <c r="L80" s="3" t="str">
        <f>'CSE2'!L7</f>
        <v/>
      </c>
      <c r="M80" s="3" t="str">
        <f>'CSE2'!M7</f>
        <v/>
      </c>
      <c r="N80" s="3" t="str">
        <f>'CSE2'!N7</f>
        <v/>
      </c>
      <c r="O80" s="3" t="str">
        <f>'CSE2'!O7</f>
        <v/>
      </c>
      <c r="P80" s="3" t="str">
        <f>'CSE2'!P7</f>
        <v/>
      </c>
      <c r="Q80" s="3" t="str">
        <f>'CSE2'!Q7</f>
        <v/>
      </c>
      <c r="R80" s="3" t="str">
        <f>'CSE2'!R7</f>
        <v/>
      </c>
      <c r="S80" s="3" t="str">
        <f>'CSE2'!S7</f>
        <v/>
      </c>
      <c r="T80" s="3" t="str">
        <f>'CSE2'!T7</f>
        <v/>
      </c>
      <c r="U80" s="3" t="str">
        <f>'CSE2'!U7</f>
        <v/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4">
        <v>80.0</v>
      </c>
      <c r="B81" s="3">
        <f>'CSE2'!B8</f>
        <v>160118733067</v>
      </c>
      <c r="C81" s="3" t="str">
        <f>'CSE2'!C8</f>
        <v>Komali Beeram</v>
      </c>
      <c r="D81" s="7" t="str">
        <f>'CSE2'!D8</f>
        <v>YES</v>
      </c>
      <c r="E81" s="3" t="str">
        <f>'CSE2'!E8</f>
        <v>Accelerize 360</v>
      </c>
      <c r="F81" s="3" t="str">
        <f>'CSE2'!F8</f>
        <v>7 LPA</v>
      </c>
      <c r="G81" s="3" t="str">
        <f>'CSE2'!G8</f>
        <v>Cognizant GenC Next</v>
      </c>
      <c r="H81" s="3" t="str">
        <f>'CSE2'!H8</f>
        <v>6.75 LPA</v>
      </c>
      <c r="I81" s="3" t="str">
        <f>'CSE2'!I8</f>
        <v>GE Appliances (Internship)</v>
      </c>
      <c r="J81" s="3" t="str">
        <f>'CSE2'!J8</f>
        <v>20K</v>
      </c>
      <c r="K81" s="3" t="str">
        <f>'CSE2'!K8</f>
        <v>Advance Auto Parts</v>
      </c>
      <c r="L81" s="3" t="str">
        <f>'CSE2'!L8</f>
        <v>9 LPA</v>
      </c>
      <c r="M81" s="3" t="str">
        <f>'CSE2'!M8</f>
        <v>GAP</v>
      </c>
      <c r="N81" s="3" t="str">
        <f>'CSE2'!N8</f>
        <v>9.08 LPA</v>
      </c>
      <c r="O81" s="3" t="str">
        <f>'CSE2'!O8</f>
        <v>PegaSystems</v>
      </c>
      <c r="P81" s="3" t="str">
        <f>'CSE2'!P8</f>
        <v>16 LPA</v>
      </c>
      <c r="Q81" s="3" t="str">
        <f>'CSE2'!Q8</f>
        <v/>
      </c>
      <c r="R81" s="3" t="str">
        <f>'CSE2'!R8</f>
        <v/>
      </c>
      <c r="S81" s="3" t="str">
        <f>'CSE2'!S8</f>
        <v/>
      </c>
      <c r="T81" s="3" t="str">
        <f>'CSE2'!T8</f>
        <v/>
      </c>
      <c r="U81" s="3" t="str">
        <f>'CSE2'!U8</f>
        <v/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4">
        <v>81.0</v>
      </c>
      <c r="B82" s="3">
        <f>'CSE2'!B9</f>
        <v>160118733068</v>
      </c>
      <c r="C82" s="3" t="str">
        <f>'CSE2'!C9</f>
        <v>Manasa Motepalli</v>
      </c>
      <c r="D82" s="7" t="str">
        <f>'CSE2'!D9</f>
        <v>YES</v>
      </c>
      <c r="E82" s="3" t="str">
        <f>'CSE2'!E9</f>
        <v>Accenture (ASE)</v>
      </c>
      <c r="F82" s="3" t="str">
        <f>'CSE2'!F9</f>
        <v>4.5 LPA</v>
      </c>
      <c r="G82" s="3" t="str">
        <f>'CSE2'!G9</f>
        <v>Cognizant GenC</v>
      </c>
      <c r="H82" s="3" t="str">
        <f>'CSE2'!H9</f>
        <v>4 LPA</v>
      </c>
      <c r="I82" s="3" t="str">
        <f>'CSE2'!I9</f>
        <v>Capgemini (Analyst)</v>
      </c>
      <c r="J82" s="3" t="str">
        <f>'CSE2'!J9</f>
        <v>4 LPA</v>
      </c>
      <c r="K82" s="3" t="str">
        <f>'CSE2'!K9</f>
        <v>Wipro</v>
      </c>
      <c r="L82" s="3" t="str">
        <f>'CSE2'!L9</f>
        <v>3.5 LPA</v>
      </c>
      <c r="M82" s="3" t="str">
        <f>'CSE2'!M9</f>
        <v/>
      </c>
      <c r="N82" s="3" t="str">
        <f>'CSE2'!N9</f>
        <v/>
      </c>
      <c r="O82" s="3" t="str">
        <f>'CSE2'!O9</f>
        <v/>
      </c>
      <c r="P82" s="3" t="str">
        <f>'CSE2'!P9</f>
        <v/>
      </c>
      <c r="Q82" s="3" t="str">
        <f>'CSE2'!Q9</f>
        <v/>
      </c>
      <c r="R82" s="3" t="str">
        <f>'CSE2'!R9</f>
        <v/>
      </c>
      <c r="S82" s="3" t="str">
        <f>'CSE2'!S9</f>
        <v/>
      </c>
      <c r="T82" s="3" t="str">
        <f>'CSE2'!T9</f>
        <v/>
      </c>
      <c r="U82" s="3" t="str">
        <f>'CSE2'!U9</f>
        <v/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4">
        <v>82.0</v>
      </c>
      <c r="B83" s="3">
        <f>'CSE2'!B10</f>
        <v>160118733069</v>
      </c>
      <c r="C83" s="3" t="str">
        <f>'CSE2'!C10</f>
        <v>Rizmi Nawaz Sowdhagar</v>
      </c>
      <c r="D83" s="7" t="str">
        <f>'CSE2'!D10</f>
        <v/>
      </c>
      <c r="E83" s="3" t="str">
        <f>'CSE2'!E10</f>
        <v>Wipro</v>
      </c>
      <c r="F83" s="3" t="str">
        <f>'CSE2'!F10</f>
        <v>3.5 LPA</v>
      </c>
      <c r="G83" s="3" t="str">
        <f>'CSE2'!G10</f>
        <v>HCL</v>
      </c>
      <c r="H83" s="3" t="str">
        <f>'CSE2'!H10</f>
        <v>4.5 LPA</v>
      </c>
      <c r="I83" s="3" t="str">
        <f>'CSE2'!I10</f>
        <v/>
      </c>
      <c r="J83" s="3" t="str">
        <f>'CSE2'!J10</f>
        <v/>
      </c>
      <c r="K83" s="3" t="str">
        <f>'CSE2'!K10</f>
        <v/>
      </c>
      <c r="L83" s="3" t="str">
        <f>'CSE2'!L10</f>
        <v/>
      </c>
      <c r="M83" s="3" t="str">
        <f>'CSE2'!M10</f>
        <v/>
      </c>
      <c r="N83" s="3" t="str">
        <f>'CSE2'!N10</f>
        <v/>
      </c>
      <c r="O83" s="3" t="str">
        <f>'CSE2'!O10</f>
        <v/>
      </c>
      <c r="P83" s="3" t="str">
        <f>'CSE2'!P10</f>
        <v/>
      </c>
      <c r="Q83" s="3" t="str">
        <f>'CSE2'!Q10</f>
        <v/>
      </c>
      <c r="R83" s="3" t="str">
        <f>'CSE2'!R10</f>
        <v/>
      </c>
      <c r="S83" s="3" t="str">
        <f>'CSE2'!S10</f>
        <v/>
      </c>
      <c r="T83" s="3" t="str">
        <f>'CSE2'!T10</f>
        <v/>
      </c>
      <c r="U83" s="3" t="str">
        <f>'CSE2'!U10</f>
        <v/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4">
        <v>83.0</v>
      </c>
      <c r="B84" s="3">
        <f>'CSE2'!B11</f>
        <v>160118733070</v>
      </c>
      <c r="C84" s="3" t="str">
        <f>'CSE2'!C11</f>
        <v>Neha Bhupathi</v>
      </c>
      <c r="D84" s="7" t="str">
        <f>'CSE2'!D11</f>
        <v>YES</v>
      </c>
      <c r="E84" s="3" t="str">
        <f>'CSE2'!E11</f>
        <v>Collins Aerospace (Internship)</v>
      </c>
      <c r="F84" s="3" t="str">
        <f>'CSE2'!F11</f>
        <v>15k</v>
      </c>
      <c r="G84" s="3" t="str">
        <f>'CSE2'!G11</f>
        <v/>
      </c>
      <c r="H84" s="3" t="str">
        <f>'CSE2'!H11</f>
        <v/>
      </c>
      <c r="I84" s="3" t="str">
        <f>'CSE2'!I11</f>
        <v/>
      </c>
      <c r="J84" s="3" t="str">
        <f>'CSE2'!J11</f>
        <v/>
      </c>
      <c r="K84" s="3" t="str">
        <f>'CSE2'!K11</f>
        <v/>
      </c>
      <c r="L84" s="3" t="str">
        <f>'CSE2'!L11</f>
        <v/>
      </c>
      <c r="M84" s="3" t="str">
        <f>'CSE2'!M11</f>
        <v/>
      </c>
      <c r="N84" s="3" t="str">
        <f>'CSE2'!N11</f>
        <v/>
      </c>
      <c r="O84" s="3" t="str">
        <f>'CSE2'!O11</f>
        <v/>
      </c>
      <c r="P84" s="3" t="str">
        <f>'CSE2'!P11</f>
        <v/>
      </c>
      <c r="Q84" s="3" t="str">
        <f>'CSE2'!Q11</f>
        <v/>
      </c>
      <c r="R84" s="3" t="str">
        <f>'CSE2'!R11</f>
        <v/>
      </c>
      <c r="S84" s="3" t="str">
        <f>'CSE2'!S11</f>
        <v/>
      </c>
      <c r="T84" s="3" t="str">
        <f>'CSE2'!T11</f>
        <v/>
      </c>
      <c r="U84" s="3" t="str">
        <f>'CSE2'!U11</f>
        <v/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4">
        <v>84.0</v>
      </c>
      <c r="B85" s="3">
        <f>'CSE2'!B12</f>
        <v>160118733071</v>
      </c>
      <c r="C85" s="3" t="str">
        <f>'CSE2'!C12</f>
        <v>Nishitha Garlapati</v>
      </c>
      <c r="D85" s="7" t="str">
        <f>'CSE2'!D12</f>
        <v>YES</v>
      </c>
      <c r="E85" s="3" t="str">
        <f>'CSE2'!E12</f>
        <v>JPMC (PPO)</v>
      </c>
      <c r="F85" s="3" t="str">
        <f>'CSE2'!F12</f>
        <v>14 LPA</v>
      </c>
      <c r="G85" s="3" t="str">
        <f>'CSE2'!G12</f>
        <v/>
      </c>
      <c r="H85" s="3" t="str">
        <f>'CSE2'!H12</f>
        <v/>
      </c>
      <c r="I85" s="3" t="str">
        <f>'CSE2'!I12</f>
        <v/>
      </c>
      <c r="J85" s="3" t="str">
        <f>'CSE2'!J12</f>
        <v/>
      </c>
      <c r="K85" s="3" t="str">
        <f>'CSE2'!K12</f>
        <v/>
      </c>
      <c r="L85" s="3" t="str">
        <f>'CSE2'!L12</f>
        <v/>
      </c>
      <c r="M85" s="3" t="str">
        <f>'CSE2'!M12</f>
        <v/>
      </c>
      <c r="N85" s="3" t="str">
        <f>'CSE2'!N12</f>
        <v/>
      </c>
      <c r="O85" s="3" t="str">
        <f>'CSE2'!O12</f>
        <v/>
      </c>
      <c r="P85" s="3" t="str">
        <f>'CSE2'!P12</f>
        <v/>
      </c>
      <c r="Q85" s="3" t="str">
        <f>'CSE2'!Q12</f>
        <v/>
      </c>
      <c r="R85" s="3" t="str">
        <f>'CSE2'!R12</f>
        <v/>
      </c>
      <c r="S85" s="3" t="str">
        <f>'CSE2'!S12</f>
        <v/>
      </c>
      <c r="T85" s="3" t="str">
        <f>'CSE2'!T12</f>
        <v/>
      </c>
      <c r="U85" s="3" t="str">
        <f>'CSE2'!U12</f>
        <v/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4">
        <v>85.0</v>
      </c>
      <c r="B86" s="3">
        <f>'CSE2'!B13</f>
        <v>160118733072</v>
      </c>
      <c r="C86" s="3" t="str">
        <f>'CSE2'!C13</f>
        <v>Niveditha Kalva</v>
      </c>
      <c r="D86" s="7" t="str">
        <f>'CSE2'!D13</f>
        <v>YES</v>
      </c>
      <c r="E86" s="3" t="str">
        <f>'CSE2'!E13</f>
        <v>Micron (IT Operations)</v>
      </c>
      <c r="F86" s="3" t="str">
        <f>'CSE2'!F13</f>
        <v>8.1 LPA</v>
      </c>
      <c r="G86" s="3" t="str">
        <f>'CSE2'!G13</f>
        <v/>
      </c>
      <c r="H86" s="3" t="str">
        <f>'CSE2'!H13</f>
        <v/>
      </c>
      <c r="I86" s="3" t="str">
        <f>'CSE2'!I13</f>
        <v/>
      </c>
      <c r="J86" s="3" t="str">
        <f>'CSE2'!J13</f>
        <v/>
      </c>
      <c r="K86" s="3" t="str">
        <f>'CSE2'!K13</f>
        <v/>
      </c>
      <c r="L86" s="3" t="str">
        <f>'CSE2'!L13</f>
        <v/>
      </c>
      <c r="M86" s="3" t="str">
        <f>'CSE2'!M13</f>
        <v/>
      </c>
      <c r="N86" s="3" t="str">
        <f>'CSE2'!N13</f>
        <v/>
      </c>
      <c r="O86" s="3" t="str">
        <f>'CSE2'!O13</f>
        <v/>
      </c>
      <c r="P86" s="3" t="str">
        <f>'CSE2'!P13</f>
        <v/>
      </c>
      <c r="Q86" s="3" t="str">
        <f>'CSE2'!Q13</f>
        <v/>
      </c>
      <c r="R86" s="3" t="str">
        <f>'CSE2'!R13</f>
        <v/>
      </c>
      <c r="S86" s="3" t="str">
        <f>'CSE2'!S13</f>
        <v/>
      </c>
      <c r="T86" s="3" t="str">
        <f>'CSE2'!T13</f>
        <v/>
      </c>
      <c r="U86" s="3" t="str">
        <f>'CSE2'!U13</f>
        <v/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4">
        <v>86.0</v>
      </c>
      <c r="B87" s="3">
        <f>'CSE2'!B14</f>
        <v>160118733073</v>
      </c>
      <c r="C87" s="3" t="str">
        <f>'CSE2'!C14</f>
        <v>Pallavi Maragari</v>
      </c>
      <c r="D87" s="7" t="str">
        <f>'CSE2'!D14</f>
        <v>YES</v>
      </c>
      <c r="E87" s="3" t="str">
        <f>'CSE2'!E14</f>
        <v>ServiceNow</v>
      </c>
      <c r="F87" s="3" t="str">
        <f>'CSE2'!F14</f>
        <v>25 LPA</v>
      </c>
      <c r="G87" s="3" t="str">
        <f>'CSE2'!G14</f>
        <v/>
      </c>
      <c r="H87" s="3" t="str">
        <f>'CSE2'!H14</f>
        <v/>
      </c>
      <c r="I87" s="3" t="str">
        <f>'CSE2'!I14</f>
        <v/>
      </c>
      <c r="J87" s="3" t="str">
        <f>'CSE2'!J14</f>
        <v/>
      </c>
      <c r="K87" s="3" t="str">
        <f>'CSE2'!K14</f>
        <v/>
      </c>
      <c r="L87" s="3" t="str">
        <f>'CSE2'!L14</f>
        <v/>
      </c>
      <c r="M87" s="3" t="str">
        <f>'CSE2'!M14</f>
        <v/>
      </c>
      <c r="N87" s="3" t="str">
        <f>'CSE2'!N14</f>
        <v/>
      </c>
      <c r="O87" s="3" t="str">
        <f>'CSE2'!O14</f>
        <v/>
      </c>
      <c r="P87" s="3" t="str">
        <f>'CSE2'!P14</f>
        <v/>
      </c>
      <c r="Q87" s="3" t="str">
        <f>'CSE2'!Q14</f>
        <v/>
      </c>
      <c r="R87" s="3" t="str">
        <f>'CSE2'!R14</f>
        <v/>
      </c>
      <c r="S87" s="3" t="str">
        <f>'CSE2'!S14</f>
        <v/>
      </c>
      <c r="T87" s="3" t="str">
        <f>'CSE2'!T14</f>
        <v/>
      </c>
      <c r="U87" s="3" t="str">
        <f>'CSE2'!U14</f>
        <v/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4">
        <v>87.0</v>
      </c>
      <c r="B88" s="3">
        <f>'CSE2'!B15</f>
        <v>160118733075</v>
      </c>
      <c r="C88" s="3" t="str">
        <f>'CSE2'!C15</f>
        <v>Ramya Perumandla</v>
      </c>
      <c r="D88" s="7" t="str">
        <f>'CSE2'!D15</f>
        <v>YES</v>
      </c>
      <c r="E88" s="3" t="str">
        <f>'CSE2'!E15</f>
        <v>Cognizant GenC Elevate</v>
      </c>
      <c r="F88" s="3" t="str">
        <f>'CSE2'!F15</f>
        <v>4 LPA</v>
      </c>
      <c r="G88" s="3" t="str">
        <f>'CSE2'!G15</f>
        <v>LTI (Level 2)</v>
      </c>
      <c r="H88" s="3" t="str">
        <f>'CSE2'!H15</f>
        <v>6.5 LPA</v>
      </c>
      <c r="I88" s="3" t="str">
        <f>'CSE2'!I15</f>
        <v>Wipro</v>
      </c>
      <c r="J88" s="3" t="str">
        <f>'CSE2'!J15</f>
        <v>3.5 LPA</v>
      </c>
      <c r="K88" s="3" t="str">
        <f>'CSE2'!K15</f>
        <v>Collins Aerospace (Internship)</v>
      </c>
      <c r="L88" s="3" t="str">
        <f>'CSE2'!L15</f>
        <v>6.25 LPA</v>
      </c>
      <c r="M88" s="3" t="str">
        <f>'CSE2'!M15</f>
        <v>Blue Yonder (Internship)</v>
      </c>
      <c r="N88" s="3" t="str">
        <f>'CSE2'!N15</f>
        <v>35K</v>
      </c>
      <c r="O88" s="3" t="str">
        <f>'CSE2'!O15</f>
        <v>DBS</v>
      </c>
      <c r="P88" s="3" t="str">
        <f>'CSE2'!P15</f>
        <v>8.5 LPA</v>
      </c>
      <c r="Q88" s="3" t="str">
        <f>'CSE2'!Q15</f>
        <v/>
      </c>
      <c r="R88" s="3" t="str">
        <f>'CSE2'!R15</f>
        <v/>
      </c>
      <c r="S88" s="3" t="str">
        <f>'CSE2'!S15</f>
        <v/>
      </c>
      <c r="T88" s="3" t="str">
        <f>'CSE2'!T15</f>
        <v/>
      </c>
      <c r="U88" s="3" t="str">
        <f>'CSE2'!U15</f>
        <v/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4">
        <v>88.0</v>
      </c>
      <c r="B89" s="3">
        <f>'CSE2'!B16</f>
        <v>160118733076</v>
      </c>
      <c r="C89" s="3" t="str">
        <f>'CSE2'!C16</f>
        <v>Saikeerthana Akella</v>
      </c>
      <c r="D89" s="7" t="str">
        <f>'CSE2'!D16</f>
        <v>YES</v>
      </c>
      <c r="E89" s="3" t="str">
        <f>'CSE2'!E16</f>
        <v>JPMC (PPO)</v>
      </c>
      <c r="F89" s="3" t="str">
        <f>'CSE2'!F16</f>
        <v>14 LPA</v>
      </c>
      <c r="G89" s="3" t="str">
        <f>'CSE2'!G16</f>
        <v/>
      </c>
      <c r="H89" s="3" t="str">
        <f>'CSE2'!H16</f>
        <v/>
      </c>
      <c r="I89" s="3" t="str">
        <f>'CSE2'!I16</f>
        <v/>
      </c>
      <c r="J89" s="3" t="str">
        <f>'CSE2'!J16</f>
        <v/>
      </c>
      <c r="K89" s="3" t="str">
        <f>'CSE2'!K16</f>
        <v/>
      </c>
      <c r="L89" s="3" t="str">
        <f>'CSE2'!L16</f>
        <v/>
      </c>
      <c r="M89" s="3" t="str">
        <f>'CSE2'!M16</f>
        <v/>
      </c>
      <c r="N89" s="3" t="str">
        <f>'CSE2'!N16</f>
        <v/>
      </c>
      <c r="O89" s="3" t="str">
        <f>'CSE2'!O16</f>
        <v/>
      </c>
      <c r="P89" s="3" t="str">
        <f>'CSE2'!P16</f>
        <v/>
      </c>
      <c r="Q89" s="3" t="str">
        <f>'CSE2'!Q16</f>
        <v/>
      </c>
      <c r="R89" s="3" t="str">
        <f>'CSE2'!R16</f>
        <v/>
      </c>
      <c r="S89" s="3" t="str">
        <f>'CSE2'!S16</f>
        <v/>
      </c>
      <c r="T89" s="3" t="str">
        <f>'CSE2'!T16</f>
        <v/>
      </c>
      <c r="U89" s="3" t="str">
        <f>'CSE2'!U16</f>
        <v/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4">
        <v>89.0</v>
      </c>
      <c r="B90" s="3">
        <f>'CSE2'!B17</f>
        <v>160118733077</v>
      </c>
      <c r="C90" s="3" t="str">
        <f>'CSE2'!C17</f>
        <v>G Saketha</v>
      </c>
      <c r="D90" s="7" t="str">
        <f>'CSE2'!D17</f>
        <v>YES</v>
      </c>
      <c r="E90" s="3" t="str">
        <f>'CSE2'!E17</f>
        <v>Searce (ML Engineer)</v>
      </c>
      <c r="F90" s="3" t="str">
        <f>'CSE2'!F17</f>
        <v>7.5 LPA</v>
      </c>
      <c r="G90" s="3" t="str">
        <f>'CSE2'!G17</f>
        <v>Cognizant GenC Next</v>
      </c>
      <c r="H90" s="3" t="str">
        <f>'CSE2'!H17</f>
        <v>6.75 LPA</v>
      </c>
      <c r="I90" s="3" t="str">
        <f>'CSE2'!I17</f>
        <v/>
      </c>
      <c r="J90" s="3" t="str">
        <f>'CSE2'!J17</f>
        <v/>
      </c>
      <c r="K90" s="3" t="str">
        <f>'CSE2'!K17</f>
        <v/>
      </c>
      <c r="L90" s="3" t="str">
        <f>'CSE2'!L17</f>
        <v/>
      </c>
      <c r="M90" s="3" t="str">
        <f>'CSE2'!M17</f>
        <v/>
      </c>
      <c r="N90" s="3" t="str">
        <f>'CSE2'!N17</f>
        <v/>
      </c>
      <c r="O90" s="3" t="str">
        <f>'CSE2'!O17</f>
        <v/>
      </c>
      <c r="P90" s="3" t="str">
        <f>'CSE2'!P17</f>
        <v/>
      </c>
      <c r="Q90" s="3" t="str">
        <f>'CSE2'!Q17</f>
        <v/>
      </c>
      <c r="R90" s="3" t="str">
        <f>'CSE2'!R17</f>
        <v/>
      </c>
      <c r="S90" s="3" t="str">
        <f>'CSE2'!S17</f>
        <v/>
      </c>
      <c r="T90" s="3" t="str">
        <f>'CSE2'!T17</f>
        <v/>
      </c>
      <c r="U90" s="3" t="str">
        <f>'CSE2'!U17</f>
        <v/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4">
        <v>90.0</v>
      </c>
      <c r="B91" s="3">
        <f>'CSE2'!B18</f>
        <v>160118733078</v>
      </c>
      <c r="C91" s="3" t="str">
        <f>'CSE2'!C18</f>
        <v>Sanya Tahsin Mohammed</v>
      </c>
      <c r="D91" s="7" t="str">
        <f>'CSE2'!D18</f>
        <v>YES</v>
      </c>
      <c r="E91" s="3" t="str">
        <f>'CSE2'!E18</f>
        <v>Cognizant GenC Elevate</v>
      </c>
      <c r="F91" s="3" t="str">
        <f>'CSE2'!F18</f>
        <v>4 LPA</v>
      </c>
      <c r="G91" s="3" t="str">
        <f>'CSE2'!G18</f>
        <v>Virtusa</v>
      </c>
      <c r="H91" s="3" t="str">
        <f>'CSE2'!H18</f>
        <v>$45K</v>
      </c>
      <c r="I91" s="3" t="str">
        <f>'CSE2'!I18</f>
        <v/>
      </c>
      <c r="J91" s="3" t="str">
        <f>'CSE2'!J18</f>
        <v/>
      </c>
      <c r="K91" s="3" t="str">
        <f>'CSE2'!K18</f>
        <v/>
      </c>
      <c r="L91" s="3" t="str">
        <f>'CSE2'!L18</f>
        <v/>
      </c>
      <c r="M91" s="3" t="str">
        <f>'CSE2'!M18</f>
        <v/>
      </c>
      <c r="N91" s="3" t="str">
        <f>'CSE2'!N18</f>
        <v/>
      </c>
      <c r="O91" s="3" t="str">
        <f>'CSE2'!O18</f>
        <v/>
      </c>
      <c r="P91" s="3" t="str">
        <f>'CSE2'!P18</f>
        <v/>
      </c>
      <c r="Q91" s="3" t="str">
        <f>'CSE2'!Q18</f>
        <v/>
      </c>
      <c r="R91" s="3" t="str">
        <f>'CSE2'!R18</f>
        <v/>
      </c>
      <c r="S91" s="3" t="str">
        <f>'CSE2'!S18</f>
        <v/>
      </c>
      <c r="T91" s="3" t="str">
        <f>'CSE2'!T18</f>
        <v/>
      </c>
      <c r="U91" s="3" t="str">
        <f>'CSE2'!U18</f>
        <v/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4">
        <v>91.0</v>
      </c>
      <c r="B92" s="3">
        <f>'CSE2'!B19</f>
        <v>160118733079</v>
      </c>
      <c r="C92" s="3" t="str">
        <f>'CSE2'!C19</f>
        <v>G.Satvika Reddy</v>
      </c>
      <c r="D92" s="7" t="str">
        <f>'CSE2'!D19</f>
        <v>YES</v>
      </c>
      <c r="E92" s="3" t="str">
        <f>'CSE2'!E19</f>
        <v>JPMC (PPO)</v>
      </c>
      <c r="F92" s="3" t="str">
        <f>'CSE2'!F19</f>
        <v>14 LPA</v>
      </c>
      <c r="G92" s="3" t="str">
        <f>'CSE2'!G19</f>
        <v/>
      </c>
      <c r="H92" s="3" t="str">
        <f>'CSE2'!H19</f>
        <v/>
      </c>
      <c r="I92" s="3" t="str">
        <f>'CSE2'!I19</f>
        <v/>
      </c>
      <c r="J92" s="3" t="str">
        <f>'CSE2'!J19</f>
        <v/>
      </c>
      <c r="K92" s="3" t="str">
        <f>'CSE2'!K19</f>
        <v/>
      </c>
      <c r="L92" s="3" t="str">
        <f>'CSE2'!L19</f>
        <v/>
      </c>
      <c r="M92" s="3" t="str">
        <f>'CSE2'!M19</f>
        <v/>
      </c>
      <c r="N92" s="3" t="str">
        <f>'CSE2'!N19</f>
        <v/>
      </c>
      <c r="O92" s="3" t="str">
        <f>'CSE2'!O19</f>
        <v/>
      </c>
      <c r="P92" s="3" t="str">
        <f>'CSE2'!P19</f>
        <v/>
      </c>
      <c r="Q92" s="3" t="str">
        <f>'CSE2'!Q19</f>
        <v/>
      </c>
      <c r="R92" s="3" t="str">
        <f>'CSE2'!R19</f>
        <v/>
      </c>
      <c r="S92" s="3" t="str">
        <f>'CSE2'!S19</f>
        <v/>
      </c>
      <c r="T92" s="3" t="str">
        <f>'CSE2'!T19</f>
        <v/>
      </c>
      <c r="U92" s="3" t="str">
        <f>'CSE2'!U19</f>
        <v/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4">
        <v>92.0</v>
      </c>
      <c r="B93" s="3">
        <f>'CSE2'!B20</f>
        <v>160118733080</v>
      </c>
      <c r="C93" s="3" t="str">
        <f>'CSE2'!C20</f>
        <v>Siri Chandana Desiraju</v>
      </c>
      <c r="D93" s="7" t="str">
        <f>'CSE2'!D20</f>
        <v>YES</v>
      </c>
      <c r="E93" s="3" t="str">
        <f>'CSE2'!E20</f>
        <v>Advance Auto Parts (PPO)</v>
      </c>
      <c r="F93" s="3" t="str">
        <f>'CSE2'!F20</f>
        <v>9 LPA</v>
      </c>
      <c r="G93" s="3" t="str">
        <f>'CSE2'!G20</f>
        <v>Futures First (Internship)</v>
      </c>
      <c r="H93" s="3" t="str">
        <f>'CSE2'!H20</f>
        <v>20K</v>
      </c>
      <c r="I93" s="3" t="str">
        <f>'CSE2'!I20</f>
        <v/>
      </c>
      <c r="J93" s="3" t="str">
        <f>'CSE2'!J20</f>
        <v/>
      </c>
      <c r="K93" s="3" t="str">
        <f>'CSE2'!K20</f>
        <v/>
      </c>
      <c r="L93" s="3" t="str">
        <f>'CSE2'!L20</f>
        <v/>
      </c>
      <c r="O93" s="3" t="str">
        <f>'CSE2'!O20</f>
        <v/>
      </c>
      <c r="P93" s="3" t="str">
        <f>'CSE2'!P20</f>
        <v/>
      </c>
      <c r="Q93" s="3" t="str">
        <f>'CSE2'!Q20</f>
        <v/>
      </c>
      <c r="R93" s="3" t="str">
        <f>'CSE2'!R20</f>
        <v/>
      </c>
      <c r="S93" s="3" t="str">
        <f>'CSE2'!S20</f>
        <v/>
      </c>
      <c r="T93" s="3" t="str">
        <f>'CSE2'!T20</f>
        <v/>
      </c>
      <c r="U93" s="3" t="str">
        <f>'CSE2'!U20</f>
        <v/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4">
        <v>93.0</v>
      </c>
      <c r="B94" s="3">
        <f>'CSE2'!B21</f>
        <v>160118733081</v>
      </c>
      <c r="C94" s="3" t="str">
        <f>'CSE2'!C21</f>
        <v>Soumya Vemuri</v>
      </c>
      <c r="D94" s="7" t="str">
        <f>'CSE2'!D21</f>
        <v>YES</v>
      </c>
      <c r="E94" s="3" t="str">
        <f>'CSE2'!E21</f>
        <v>JPMC (PPO)</v>
      </c>
      <c r="F94" s="3" t="str">
        <f>'CSE2'!F21</f>
        <v>14 LPA</v>
      </c>
      <c r="G94" s="3" t="str">
        <f>'CSE2'!G21</f>
        <v/>
      </c>
      <c r="H94" s="3" t="str">
        <f>'CSE2'!H21</f>
        <v/>
      </c>
      <c r="I94" s="3" t="str">
        <f>'CSE2'!I21</f>
        <v/>
      </c>
      <c r="J94" s="3" t="str">
        <f>'CSE2'!J21</f>
        <v/>
      </c>
      <c r="K94" s="3" t="str">
        <f>'CSE2'!K21</f>
        <v/>
      </c>
      <c r="L94" s="3" t="str">
        <f>'CSE2'!L21</f>
        <v/>
      </c>
      <c r="M94" s="3" t="str">
        <f>'CSE2'!M21</f>
        <v/>
      </c>
      <c r="N94" s="3" t="str">
        <f>'CSE2'!N21</f>
        <v/>
      </c>
      <c r="O94" s="3" t="str">
        <f>'CSE2'!O21</f>
        <v/>
      </c>
      <c r="P94" s="3" t="str">
        <f>'CSE2'!P21</f>
        <v/>
      </c>
      <c r="Q94" s="3" t="str">
        <f>'CSE2'!Q21</f>
        <v/>
      </c>
      <c r="R94" s="3" t="str">
        <f>'CSE2'!R21</f>
        <v/>
      </c>
      <c r="S94" s="3" t="str">
        <f>'CSE2'!S21</f>
        <v/>
      </c>
      <c r="T94" s="3" t="str">
        <f>'CSE2'!T21</f>
        <v/>
      </c>
      <c r="U94" s="3" t="str">
        <f>'CSE2'!U21</f>
        <v/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4">
        <v>94.0</v>
      </c>
      <c r="B95" s="3">
        <f>'CSE2'!B22</f>
        <v>160118733083</v>
      </c>
      <c r="C95" s="3" t="str">
        <f>'CSE2'!C22</f>
        <v>Nunavath Swathi</v>
      </c>
      <c r="D95" s="7" t="str">
        <f>'CSE2'!D22</f>
        <v/>
      </c>
      <c r="E95" s="3" t="str">
        <f>'CSE2'!E22</f>
        <v/>
      </c>
      <c r="F95" s="3" t="str">
        <f>'CSE2'!F22</f>
        <v/>
      </c>
      <c r="G95" s="3" t="str">
        <f>'CSE2'!G22</f>
        <v/>
      </c>
      <c r="H95" s="3" t="str">
        <f>'CSE2'!H22</f>
        <v/>
      </c>
      <c r="I95" s="3" t="str">
        <f>'CSE2'!I22</f>
        <v/>
      </c>
      <c r="J95" s="3" t="str">
        <f>'CSE2'!J22</f>
        <v/>
      </c>
      <c r="K95" s="3" t="str">
        <f>'CSE2'!K22</f>
        <v/>
      </c>
      <c r="L95" s="3" t="str">
        <f>'CSE2'!L22</f>
        <v/>
      </c>
      <c r="M95" s="3" t="str">
        <f>'CSE2'!M22</f>
        <v/>
      </c>
      <c r="N95" s="3" t="str">
        <f>'CSE2'!N22</f>
        <v/>
      </c>
      <c r="O95" s="3" t="str">
        <f>'CSE2'!O22</f>
        <v/>
      </c>
      <c r="P95" s="3" t="str">
        <f>'CSE2'!P22</f>
        <v/>
      </c>
      <c r="Q95" s="3" t="str">
        <f>'CSE2'!Q22</f>
        <v/>
      </c>
      <c r="R95" s="3" t="str">
        <f>'CSE2'!R22</f>
        <v/>
      </c>
      <c r="S95" s="3" t="str">
        <f>'CSE2'!S22</f>
        <v/>
      </c>
      <c r="T95" s="3" t="str">
        <f>'CSE2'!T22</f>
        <v/>
      </c>
      <c r="U95" s="3" t="str">
        <f>'CSE2'!U22</f>
        <v/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4">
        <v>95.0</v>
      </c>
      <c r="B96" s="3">
        <f>'CSE2'!B23</f>
        <v>160118733084</v>
      </c>
      <c r="C96" s="3" t="str">
        <f>'CSE2'!C23</f>
        <v>Asfiya Tabassum</v>
      </c>
      <c r="D96" s="7" t="str">
        <f>'CSE2'!D23</f>
        <v>YES</v>
      </c>
      <c r="E96" s="3" t="str">
        <f>'CSE2'!E23</f>
        <v>Cognizant GenC Next</v>
      </c>
      <c r="F96" s="3" t="str">
        <f>'CSE2'!F23</f>
        <v>6.75 LPA</v>
      </c>
      <c r="G96" s="3" t="str">
        <f>'CSE2'!G23</f>
        <v>Barclays</v>
      </c>
      <c r="H96" s="3" t="str">
        <f>'CSE2'!H23</f>
        <v>12.73 LPA</v>
      </c>
      <c r="I96" s="3" t="str">
        <f>'CSE2'!I23</f>
        <v>Infosys (SE)</v>
      </c>
      <c r="J96" s="3" t="str">
        <f>'CSE2'!J23</f>
        <v>3.6 LPA</v>
      </c>
      <c r="K96" s="3" t="str">
        <f>'CSE2'!K23</f>
        <v>Head Digital Works</v>
      </c>
      <c r="L96" s="3" t="str">
        <f>'CSE2'!L23</f>
        <v>12 LPA</v>
      </c>
      <c r="M96" s="3" t="str">
        <f>'CSE2'!M23</f>
        <v/>
      </c>
      <c r="N96" s="3" t="str">
        <f>'CSE2'!N23</f>
        <v/>
      </c>
      <c r="O96" s="3" t="str">
        <f>'CSE2'!O23</f>
        <v/>
      </c>
      <c r="P96" s="3" t="str">
        <f>'CSE2'!P23</f>
        <v/>
      </c>
      <c r="Q96" s="3" t="str">
        <f>'CSE2'!Q23</f>
        <v/>
      </c>
      <c r="R96" s="3" t="str">
        <f>'CSE2'!R23</f>
        <v/>
      </c>
      <c r="S96" s="3" t="str">
        <f>'CSE2'!S23</f>
        <v/>
      </c>
      <c r="T96" s="3" t="str">
        <f>'CSE2'!T23</f>
        <v/>
      </c>
      <c r="U96" s="3" t="str">
        <f>'CSE2'!U23</f>
        <v/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4">
        <v>96.0</v>
      </c>
      <c r="B97" s="3">
        <f>'CSE2'!B24</f>
        <v>160118733085</v>
      </c>
      <c r="C97" s="3" t="str">
        <f>'CSE2'!C24</f>
        <v>Tejaswini Jakka</v>
      </c>
      <c r="D97" s="7" t="str">
        <f>'CSE2'!D24</f>
        <v>YES</v>
      </c>
      <c r="E97" s="3" t="str">
        <f>'CSE2'!E24</f>
        <v>Deloitte (Consulting)</v>
      </c>
      <c r="F97" s="3" t="str">
        <f>'CSE2'!F24</f>
        <v>7.6 LPA</v>
      </c>
      <c r="G97" s="3" t="str">
        <f>'CSE2'!G24</f>
        <v>Barclays</v>
      </c>
      <c r="H97" s="3" t="str">
        <f>'CSE2'!H24</f>
        <v>12.73 LPA</v>
      </c>
      <c r="I97" s="3" t="str">
        <f>'CSE2'!I24</f>
        <v>Darwin Box (Internship)</v>
      </c>
      <c r="J97" s="3" t="str">
        <f>'CSE2'!J24</f>
        <v>25K</v>
      </c>
      <c r="K97" s="3" t="str">
        <f>'CSE2'!K24</f>
        <v>F5 Inc</v>
      </c>
      <c r="L97" s="3" t="str">
        <f>'CSE2'!L24</f>
        <v>23 LPA</v>
      </c>
      <c r="M97" s="3" t="str">
        <f>'CSE2'!M24</f>
        <v/>
      </c>
      <c r="N97" s="3" t="str">
        <f>'CSE2'!N24</f>
        <v/>
      </c>
      <c r="O97" s="3" t="str">
        <f>'CSE2'!O24</f>
        <v/>
      </c>
      <c r="P97" s="3" t="str">
        <f>'CSE2'!P24</f>
        <v/>
      </c>
      <c r="Q97" s="3" t="str">
        <f>'CSE2'!Q24</f>
        <v/>
      </c>
      <c r="R97" s="3" t="str">
        <f>'CSE2'!R24</f>
        <v/>
      </c>
      <c r="S97" s="3" t="str">
        <f>'CSE2'!S24</f>
        <v/>
      </c>
      <c r="T97" s="3" t="str">
        <f>'CSE2'!T24</f>
        <v/>
      </c>
      <c r="U97" s="3" t="str">
        <f>'CSE2'!U24</f>
        <v/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4">
        <v>97.0</v>
      </c>
      <c r="B98" s="3">
        <f>'CSE2'!B25</f>
        <v>160118733086</v>
      </c>
      <c r="C98" s="3" t="str">
        <f>'CSE2'!C25</f>
        <v>K Tina</v>
      </c>
      <c r="D98" s="7" t="str">
        <f>'CSE2'!D25</f>
        <v>YES</v>
      </c>
      <c r="E98" s="3" t="str">
        <f>'CSE2'!E25</f>
        <v>PwC Acceleration Center</v>
      </c>
      <c r="F98" s="3" t="str">
        <f>'CSE2'!F25</f>
        <v>6 LPA</v>
      </c>
      <c r="G98" s="3" t="str">
        <f>'CSE2'!G25</f>
        <v>Mu Sigma</v>
      </c>
      <c r="H98" s="3" t="str">
        <f>'CSE2'!H25</f>
        <v>3.5 LPA</v>
      </c>
      <c r="I98" s="3" t="str">
        <f>'CSE2'!I25</f>
        <v/>
      </c>
      <c r="J98" s="3" t="str">
        <f>'CSE2'!J25</f>
        <v/>
      </c>
      <c r="K98" s="3" t="str">
        <f>'CSE2'!K25</f>
        <v/>
      </c>
      <c r="L98" s="3" t="str">
        <f>'CSE2'!L25</f>
        <v/>
      </c>
      <c r="M98" s="3" t="str">
        <f>'CSE2'!M25</f>
        <v/>
      </c>
      <c r="N98" s="3" t="str">
        <f>'CSE2'!N25</f>
        <v/>
      </c>
      <c r="O98" s="3" t="str">
        <f>'CSE2'!O25</f>
        <v/>
      </c>
      <c r="P98" s="3" t="str">
        <f>'CSE2'!P25</f>
        <v/>
      </c>
      <c r="Q98" s="3" t="str">
        <f>'CSE2'!Q25</f>
        <v/>
      </c>
      <c r="R98" s="3" t="str">
        <f>'CSE2'!R25</f>
        <v/>
      </c>
      <c r="S98" s="3" t="str">
        <f>'CSE2'!S25</f>
        <v/>
      </c>
      <c r="T98" s="3" t="str">
        <f>'CSE2'!T25</f>
        <v/>
      </c>
      <c r="U98" s="3" t="str">
        <f>'CSE2'!U25</f>
        <v/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4">
        <v>98.0</v>
      </c>
      <c r="B99" s="3">
        <f>'CSE2'!B26</f>
        <v>160118733087</v>
      </c>
      <c r="C99" s="3" t="str">
        <f>'CSE2'!C26</f>
        <v>Aayush Shah</v>
      </c>
      <c r="D99" s="7" t="str">
        <f>'CSE2'!D26</f>
        <v>YES</v>
      </c>
      <c r="E99" s="3" t="str">
        <f>'CSE2'!E26</f>
        <v>Deloitte (Tax)</v>
      </c>
      <c r="F99" s="3" t="str">
        <f>'CSE2'!F26</f>
        <v>7.6 LPA</v>
      </c>
      <c r="G99" s="3" t="str">
        <f>'CSE2'!G26</f>
        <v>Amazon (Internship)</v>
      </c>
      <c r="H99" s="3" t="str">
        <f>'CSE2'!H26</f>
        <v>50k</v>
      </c>
      <c r="I99" s="3" t="str">
        <f>'CSE2'!I26</f>
        <v/>
      </c>
      <c r="J99" s="3" t="str">
        <f>'CSE2'!J26</f>
        <v/>
      </c>
      <c r="K99" s="3" t="str">
        <f>'CSE2'!K26</f>
        <v/>
      </c>
      <c r="L99" s="3" t="str">
        <f>'CSE2'!L26</f>
        <v/>
      </c>
      <c r="M99" s="3" t="str">
        <f>'CSE2'!M26</f>
        <v/>
      </c>
      <c r="N99" s="3" t="str">
        <f>'CSE2'!N26</f>
        <v/>
      </c>
      <c r="O99" s="3" t="str">
        <f>'CSE2'!O26</f>
        <v/>
      </c>
      <c r="P99" s="3" t="str">
        <f>'CSE2'!P26</f>
        <v/>
      </c>
      <c r="Q99" s="3" t="str">
        <f>'CSE2'!Q26</f>
        <v/>
      </c>
      <c r="R99" s="3" t="str">
        <f>'CSE2'!R26</f>
        <v/>
      </c>
      <c r="S99" s="3" t="str">
        <f>'CSE2'!S26</f>
        <v/>
      </c>
      <c r="T99" s="3" t="str">
        <f>'CSE2'!T26</f>
        <v/>
      </c>
      <c r="U99" s="3" t="str">
        <f>'CSE2'!U26</f>
        <v/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4">
        <v>99.0</v>
      </c>
      <c r="B100" s="3">
        <f>'CSE2'!B27</f>
        <v>160118733088</v>
      </c>
      <c r="C100" s="3" t="str">
        <f>'CSE2'!C27</f>
        <v>M Abhishek</v>
      </c>
      <c r="D100" s="7" t="str">
        <f>'CSE2'!D27</f>
        <v/>
      </c>
      <c r="E100" s="3" t="str">
        <f>'CSE2'!E27</f>
        <v>Infosys (PP)</v>
      </c>
      <c r="F100" s="3" t="str">
        <f>'CSE2'!F27</f>
        <v>8 LPA</v>
      </c>
      <c r="G100" s="3" t="str">
        <f>'CSE2'!G27</f>
        <v>Modak Analytics</v>
      </c>
      <c r="H100" s="3" t="str">
        <f>'CSE2'!H27</f>
        <v>6 LPA</v>
      </c>
      <c r="I100" s="3" t="str">
        <f>'CSE2'!I27</f>
        <v/>
      </c>
      <c r="J100" s="3" t="str">
        <f>'CSE2'!J27</f>
        <v/>
      </c>
      <c r="K100" s="3" t="str">
        <f>'CSE2'!K27</f>
        <v/>
      </c>
      <c r="L100" s="3" t="str">
        <f>'CSE2'!L27</f>
        <v/>
      </c>
      <c r="M100" s="3" t="str">
        <f>'CSE2'!M27</f>
        <v/>
      </c>
      <c r="N100" s="3" t="str">
        <f>'CSE2'!N27</f>
        <v/>
      </c>
      <c r="O100" s="3" t="str">
        <f>'CSE2'!O27</f>
        <v/>
      </c>
      <c r="P100" s="3" t="str">
        <f>'CSE2'!P27</f>
        <v/>
      </c>
      <c r="Q100" s="3" t="str">
        <f>'CSE2'!Q27</f>
        <v/>
      </c>
      <c r="R100" s="3" t="str">
        <f>'CSE2'!R27</f>
        <v/>
      </c>
      <c r="S100" s="3" t="str">
        <f>'CSE2'!S27</f>
        <v/>
      </c>
      <c r="T100" s="3" t="str">
        <f>'CSE2'!T27</f>
        <v/>
      </c>
      <c r="U100" s="3" t="str">
        <f>'CSE2'!U27</f>
        <v/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4">
        <v>100.0</v>
      </c>
      <c r="B101" s="3">
        <f>'CSE2'!B28</f>
        <v>160118733089</v>
      </c>
      <c r="C101" s="3" t="str">
        <f>'CSE2'!C28</f>
        <v>Tariq Ahmed</v>
      </c>
      <c r="D101" s="7" t="str">
        <f>'CSE2'!D28</f>
        <v/>
      </c>
      <c r="E101" s="3" t="str">
        <f>'CSE2'!E28</f>
        <v/>
      </c>
      <c r="F101" s="3" t="str">
        <f>'CSE2'!F28</f>
        <v/>
      </c>
      <c r="G101" s="3" t="str">
        <f>'CSE2'!G28</f>
        <v/>
      </c>
      <c r="H101" s="3" t="str">
        <f>'CSE2'!H28</f>
        <v/>
      </c>
      <c r="I101" s="3" t="str">
        <f>'CSE2'!I28</f>
        <v/>
      </c>
      <c r="J101" s="3" t="str">
        <f>'CSE2'!J28</f>
        <v/>
      </c>
      <c r="K101" s="3" t="str">
        <f>'CSE2'!K28</f>
        <v/>
      </c>
      <c r="L101" s="3" t="str">
        <f>'CSE2'!L28</f>
        <v/>
      </c>
      <c r="M101" s="3" t="str">
        <f>'CSE2'!M28</f>
        <v/>
      </c>
      <c r="N101" s="3" t="str">
        <f>'CSE2'!N28</f>
        <v/>
      </c>
      <c r="O101" s="3" t="str">
        <f>'CSE2'!O28</f>
        <v/>
      </c>
      <c r="P101" s="3" t="str">
        <f>'CSE2'!P28</f>
        <v/>
      </c>
      <c r="Q101" s="3" t="str">
        <f>'CSE2'!Q28</f>
        <v/>
      </c>
      <c r="R101" s="3" t="str">
        <f>'CSE2'!R28</f>
        <v/>
      </c>
      <c r="S101" s="3" t="str">
        <f>'CSE2'!S28</f>
        <v/>
      </c>
      <c r="T101" s="3" t="str">
        <f>'CSE2'!T28</f>
        <v/>
      </c>
      <c r="U101" s="3" t="str">
        <f>'CSE2'!U28</f>
        <v/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4">
        <v>101.0</v>
      </c>
      <c r="B102" s="3">
        <f>'CSE2'!B29</f>
        <v>160118733091</v>
      </c>
      <c r="C102" s="3" t="str">
        <f>'CSE2'!C29</f>
        <v>Akash Reddy Jammula</v>
      </c>
      <c r="D102" s="7" t="str">
        <f>'CSE2'!D29</f>
        <v>YES</v>
      </c>
      <c r="E102" s="3" t="str">
        <f>'CSE2'!E29</f>
        <v>Cognizant GenC Elevate</v>
      </c>
      <c r="F102" s="3" t="str">
        <f>'CSE2'!F29</f>
        <v>4 LPA</v>
      </c>
      <c r="G102" s="3" t="str">
        <f>'CSE2'!G29</f>
        <v>Modak Analytics</v>
      </c>
      <c r="H102" s="3" t="str">
        <f>'CSE2'!H29</f>
        <v>6 LPA</v>
      </c>
      <c r="I102" s="3" t="str">
        <f>'CSE2'!I29</f>
        <v>LTI (Level 3)</v>
      </c>
      <c r="J102" s="3" t="str">
        <f>'CSE2'!J29</f>
        <v>8 LPA</v>
      </c>
      <c r="K102" s="3" t="str">
        <f>'CSE2'!K29</f>
        <v/>
      </c>
      <c r="L102" s="3" t="str">
        <f>'CSE2'!L29</f>
        <v/>
      </c>
      <c r="M102" s="3" t="str">
        <f>'CSE2'!M29</f>
        <v/>
      </c>
      <c r="N102" s="3" t="str">
        <f>'CSE2'!N29</f>
        <v/>
      </c>
      <c r="O102" s="3" t="str">
        <f>'CSE2'!O29</f>
        <v/>
      </c>
      <c r="P102" s="3" t="str">
        <f>'CSE2'!P29</f>
        <v/>
      </c>
      <c r="Q102" s="3" t="str">
        <f>'CSE2'!Q29</f>
        <v/>
      </c>
      <c r="R102" s="3" t="str">
        <f>'CSE2'!R29</f>
        <v/>
      </c>
      <c r="S102" s="3" t="str">
        <f>'CSE2'!S29</f>
        <v/>
      </c>
      <c r="T102" s="3" t="str">
        <f>'CSE2'!T29</f>
        <v/>
      </c>
      <c r="U102" s="3" t="str">
        <f>'CSE2'!U29</f>
        <v/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4">
        <v>102.0</v>
      </c>
      <c r="B103" s="3">
        <f>'CSE2'!B30</f>
        <v>160118733092</v>
      </c>
      <c r="C103" s="3" t="str">
        <f>'CSE2'!C30</f>
        <v>Hussain Aziz Ahmed</v>
      </c>
      <c r="D103" s="7" t="str">
        <f>'CSE2'!D30</f>
        <v/>
      </c>
      <c r="E103" s="3" t="str">
        <f>'CSE2'!E30</f>
        <v/>
      </c>
      <c r="F103" s="3" t="str">
        <f>'CSE2'!F30</f>
        <v/>
      </c>
      <c r="G103" s="3" t="str">
        <f>'CSE2'!G30</f>
        <v/>
      </c>
      <c r="H103" s="3" t="str">
        <f>'CSE2'!H30</f>
        <v/>
      </c>
      <c r="I103" s="3" t="str">
        <f>'CSE2'!I30</f>
        <v/>
      </c>
      <c r="J103" s="3" t="str">
        <f>'CSE2'!J30</f>
        <v/>
      </c>
      <c r="K103" s="3" t="str">
        <f>'CSE2'!K30</f>
        <v/>
      </c>
      <c r="L103" s="3" t="str">
        <f>'CSE2'!L30</f>
        <v/>
      </c>
      <c r="M103" s="3" t="str">
        <f>'CSE2'!M30</f>
        <v/>
      </c>
      <c r="N103" s="3" t="str">
        <f>'CSE2'!N30</f>
        <v/>
      </c>
      <c r="O103" s="3" t="str">
        <f>'CSE2'!O30</f>
        <v/>
      </c>
      <c r="P103" s="3" t="str">
        <f>'CSE2'!P30</f>
        <v/>
      </c>
      <c r="Q103" s="3" t="str">
        <f>'CSE2'!Q30</f>
        <v/>
      </c>
      <c r="R103" s="3" t="str">
        <f>'CSE2'!R30</f>
        <v/>
      </c>
      <c r="S103" s="3" t="str">
        <f>'CSE2'!S30</f>
        <v/>
      </c>
      <c r="T103" s="3" t="str">
        <f>'CSE2'!T30</f>
        <v/>
      </c>
      <c r="U103" s="3" t="str">
        <f>'CSE2'!U30</f>
        <v/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4">
        <v>103.0</v>
      </c>
      <c r="B104" s="3">
        <f>'CSE2'!B31</f>
        <v>160118733093</v>
      </c>
      <c r="C104" s="3" t="str">
        <f>'CSE2'!C31</f>
        <v>Dinesh Rayala</v>
      </c>
      <c r="D104" s="7" t="str">
        <f>'CSE2'!D31</f>
        <v>YES</v>
      </c>
      <c r="E104" s="3" t="str">
        <f>'CSE2'!E31</f>
        <v>Accolite</v>
      </c>
      <c r="F104" s="3" t="str">
        <f>'CSE2'!F31</f>
        <v>8 LPA</v>
      </c>
      <c r="G104" s="3" t="str">
        <f>'CSE2'!G31</f>
        <v>Darwin Box (Internship)</v>
      </c>
      <c r="H104" s="3" t="str">
        <f>'CSE2'!H31</f>
        <v>25K</v>
      </c>
      <c r="I104" s="3" t="str">
        <f>'CSE2'!I31</f>
        <v>Infosys (DSE)</v>
      </c>
      <c r="J104" s="3" t="str">
        <f>'CSE2'!J31</f>
        <v>6.25 LPA</v>
      </c>
      <c r="K104" s="3" t="str">
        <f>'CSE2'!K31</f>
        <v/>
      </c>
      <c r="L104" s="3" t="str">
        <f>'CSE2'!L31</f>
        <v/>
      </c>
      <c r="M104" s="3" t="str">
        <f>'CSE2'!M31</f>
        <v/>
      </c>
      <c r="N104" s="3" t="str">
        <f>'CSE2'!N31</f>
        <v/>
      </c>
      <c r="O104" s="3" t="str">
        <f>'CSE2'!O31</f>
        <v/>
      </c>
      <c r="P104" s="3" t="str">
        <f>'CSE2'!P31</f>
        <v/>
      </c>
      <c r="Q104" s="3" t="str">
        <f>'CSE2'!Q31</f>
        <v/>
      </c>
      <c r="R104" s="3" t="str">
        <f>'CSE2'!R31</f>
        <v/>
      </c>
      <c r="S104" s="3" t="str">
        <f>'CSE2'!S31</f>
        <v/>
      </c>
      <c r="T104" s="3" t="str">
        <f>'CSE2'!T31</f>
        <v/>
      </c>
      <c r="U104" s="3" t="str">
        <f>'CSE2'!U31</f>
        <v/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4">
        <v>104.0</v>
      </c>
      <c r="B105" s="3">
        <f>'CSE2'!B32</f>
        <v>160118733094</v>
      </c>
      <c r="C105" s="3" t="str">
        <f>'CSE2'!C32</f>
        <v>Durgaprasad Reddy Gondesi</v>
      </c>
      <c r="D105" s="7" t="str">
        <f>'CSE2'!D32</f>
        <v>YES</v>
      </c>
      <c r="E105" s="3" t="str">
        <f>'CSE2'!E32</f>
        <v>Searce (Software Engineer)</v>
      </c>
      <c r="F105" s="3" t="str">
        <f>'CSE2'!F32</f>
        <v>7.5 LPA</v>
      </c>
      <c r="G105" s="3" t="str">
        <f>'CSE2'!G32</f>
        <v>CareAllianz</v>
      </c>
      <c r="H105" s="3" t="str">
        <f>'CSE2'!H32</f>
        <v>11 LPA</v>
      </c>
      <c r="I105" s="3" t="str">
        <f>'CSE2'!I32</f>
        <v/>
      </c>
      <c r="J105" s="3" t="str">
        <f>'CSE2'!J32</f>
        <v/>
      </c>
      <c r="K105" s="3" t="str">
        <f>'CSE2'!K32</f>
        <v/>
      </c>
      <c r="L105" s="3" t="str">
        <f>'CSE2'!L32</f>
        <v/>
      </c>
      <c r="M105" s="3" t="str">
        <f>'CSE2'!M32</f>
        <v/>
      </c>
      <c r="N105" s="3" t="str">
        <f>'CSE2'!N32</f>
        <v/>
      </c>
      <c r="O105" s="3" t="str">
        <f>'CSE2'!O32</f>
        <v/>
      </c>
      <c r="P105" s="3" t="str">
        <f>'CSE2'!P32</f>
        <v/>
      </c>
      <c r="Q105" s="3" t="str">
        <f>'CSE2'!Q32</f>
        <v/>
      </c>
      <c r="R105" s="3" t="str">
        <f>'CSE2'!R32</f>
        <v/>
      </c>
      <c r="S105" s="3" t="str">
        <f>'CSE2'!S32</f>
        <v/>
      </c>
      <c r="T105" s="3" t="str">
        <f>'CSE2'!T32</f>
        <v/>
      </c>
      <c r="U105" s="3" t="str">
        <f>'CSE2'!U32</f>
        <v/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4">
        <v>105.0</v>
      </c>
      <c r="B106" s="3">
        <f>'CSE2'!B33</f>
        <v>160118733095</v>
      </c>
      <c r="C106" s="3" t="str">
        <f>'CSE2'!C33</f>
        <v>Mohammed Faiz</v>
      </c>
      <c r="D106" s="7" t="str">
        <f>'CSE2'!D33</f>
        <v>YES</v>
      </c>
      <c r="E106" s="3" t="str">
        <f>'CSE2'!E33</f>
        <v>Cognizant GenC Elevate</v>
      </c>
      <c r="F106" s="3" t="str">
        <f>'CSE2'!F33</f>
        <v>4 LPA</v>
      </c>
      <c r="G106" s="3" t="str">
        <f>'CSE2'!G33</f>
        <v>Infosys (SE)</v>
      </c>
      <c r="H106" s="3" t="str">
        <f>'CSE2'!H33</f>
        <v>3.6 LPA</v>
      </c>
      <c r="I106" s="3" t="str">
        <f>'CSE2'!I33</f>
        <v>MTX</v>
      </c>
      <c r="J106" s="3" t="str">
        <f>'CSE2'!J33</f>
        <v>10.4 LPA</v>
      </c>
      <c r="K106" s="3" t="str">
        <f>'CSE2'!K33</f>
        <v/>
      </c>
      <c r="L106" s="3" t="str">
        <f>'CSE2'!L33</f>
        <v/>
      </c>
      <c r="M106" s="3" t="str">
        <f>'CSE2'!M33</f>
        <v/>
      </c>
      <c r="N106" s="3" t="str">
        <f>'CSE2'!N33</f>
        <v/>
      </c>
      <c r="O106" s="3" t="str">
        <f>'CSE2'!O33</f>
        <v/>
      </c>
      <c r="P106" s="3" t="str">
        <f>'CSE2'!P33</f>
        <v/>
      </c>
      <c r="Q106" s="3" t="str">
        <f>'CSE2'!Q33</f>
        <v/>
      </c>
      <c r="R106" s="3" t="str">
        <f>'CSE2'!R33</f>
        <v/>
      </c>
      <c r="S106" s="3" t="str">
        <f>'CSE2'!S33</f>
        <v/>
      </c>
      <c r="T106" s="3" t="str">
        <f>'CSE2'!T33</f>
        <v/>
      </c>
      <c r="U106" s="3" t="str">
        <f>'CSE2'!U33</f>
        <v/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4">
        <v>106.0</v>
      </c>
      <c r="B107" s="3">
        <f>'CSE2'!B34</f>
        <v>160118733096</v>
      </c>
      <c r="C107" s="3" t="str">
        <f>'CSE2'!C34</f>
        <v>Harish Akula</v>
      </c>
      <c r="D107" s="7" t="str">
        <f>'CSE2'!D34</f>
        <v/>
      </c>
      <c r="E107" s="3" t="str">
        <f>'CSE2'!E34</f>
        <v>Deloitte (Tax)</v>
      </c>
      <c r="F107" s="3" t="str">
        <f>'CSE2'!F34</f>
        <v>7.6 LPA</v>
      </c>
      <c r="G107" s="3" t="str">
        <f>'CSE2'!G34</f>
        <v/>
      </c>
      <c r="H107" s="3" t="str">
        <f>'CSE2'!H34</f>
        <v/>
      </c>
      <c r="I107" s="3" t="str">
        <f>'CSE2'!I34</f>
        <v/>
      </c>
      <c r="J107" s="3" t="str">
        <f>'CSE2'!J34</f>
        <v/>
      </c>
      <c r="K107" s="3" t="str">
        <f>'CSE2'!K34</f>
        <v/>
      </c>
      <c r="L107" s="3" t="str">
        <f>'CSE2'!L34</f>
        <v/>
      </c>
      <c r="M107" s="3" t="str">
        <f>'CSE2'!M34</f>
        <v/>
      </c>
      <c r="N107" s="3" t="str">
        <f>'CSE2'!N34</f>
        <v/>
      </c>
      <c r="O107" s="3" t="str">
        <f>'CSE2'!O34</f>
        <v/>
      </c>
      <c r="P107" s="3" t="str">
        <f>'CSE2'!P34</f>
        <v/>
      </c>
      <c r="Q107" s="3" t="str">
        <f>'CSE2'!Q34</f>
        <v/>
      </c>
      <c r="R107" s="3" t="str">
        <f>'CSE2'!R34</f>
        <v/>
      </c>
      <c r="S107" s="3" t="str">
        <f>'CSE2'!S34</f>
        <v/>
      </c>
      <c r="T107" s="3" t="str">
        <f>'CSE2'!T34</f>
        <v/>
      </c>
      <c r="U107" s="3" t="str">
        <f>'CSE2'!U34</f>
        <v/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4">
        <v>107.0</v>
      </c>
      <c r="B108" s="3">
        <f>'CSE2'!B35</f>
        <v>160118733097</v>
      </c>
      <c r="C108" s="3" t="str">
        <f>'CSE2'!C35</f>
        <v>Kilari Jagruth</v>
      </c>
      <c r="D108" s="7" t="str">
        <f>'CSE2'!D35</f>
        <v>YES</v>
      </c>
      <c r="E108" s="3" t="str">
        <f>'CSE2'!E35</f>
        <v>Oracle (GBU)</v>
      </c>
      <c r="F108" s="3" t="str">
        <f>'CSE2'!F35</f>
        <v>16.64 LPA</v>
      </c>
      <c r="G108" s="3" t="str">
        <f>'CSE2'!G35</f>
        <v>Infosys (SE)</v>
      </c>
      <c r="H108" s="3" t="str">
        <f>'CSE2'!H35</f>
        <v>3.6 LPA</v>
      </c>
      <c r="I108" s="3" t="str">
        <f>'CSE2'!I35</f>
        <v/>
      </c>
      <c r="J108" s="3" t="str">
        <f>'CSE2'!J35</f>
        <v/>
      </c>
      <c r="K108" s="3" t="str">
        <f>'CSE2'!K35</f>
        <v/>
      </c>
      <c r="L108" s="3" t="str">
        <f>'CSE2'!L35</f>
        <v/>
      </c>
      <c r="M108" s="3" t="str">
        <f>'CSE2'!M35</f>
        <v/>
      </c>
      <c r="N108" s="3" t="str">
        <f>'CSE2'!N35</f>
        <v/>
      </c>
      <c r="O108" s="3" t="str">
        <f>'CSE2'!O35</f>
        <v/>
      </c>
      <c r="P108" s="3" t="str">
        <f>'CSE2'!P35</f>
        <v/>
      </c>
      <c r="Q108" s="3" t="str">
        <f>'CSE2'!Q35</f>
        <v/>
      </c>
      <c r="R108" s="3" t="str">
        <f>'CSE2'!R35</f>
        <v/>
      </c>
      <c r="S108" s="3" t="str">
        <f>'CSE2'!S35</f>
        <v/>
      </c>
      <c r="T108" s="3" t="str">
        <f>'CSE2'!T35</f>
        <v/>
      </c>
      <c r="U108" s="3" t="str">
        <f>'CSE2'!U35</f>
        <v/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4">
        <v>108.0</v>
      </c>
      <c r="B109" s="3">
        <f>'CSE2'!B36</f>
        <v>160118733098</v>
      </c>
      <c r="C109" s="3" t="str">
        <f>'CSE2'!C36</f>
        <v>Jashwanth Bheemapaka</v>
      </c>
      <c r="D109" s="7" t="str">
        <f>'CSE2'!D36</f>
        <v>YES</v>
      </c>
      <c r="E109" s="3" t="str">
        <f>'CSE2'!E36</f>
        <v>Cognizant GenC Elevate</v>
      </c>
      <c r="F109" s="3" t="str">
        <f>'CSE2'!F36</f>
        <v>4 LPA</v>
      </c>
      <c r="G109" s="3" t="str">
        <f>'CSE2'!G36</f>
        <v>GE Appliances (Internship)</v>
      </c>
      <c r="H109" s="3" t="str">
        <f>'CSE2'!H36</f>
        <v>20K</v>
      </c>
      <c r="I109" s="3" t="str">
        <f>'CSE2'!I36</f>
        <v>LTI (Level 2)</v>
      </c>
      <c r="J109" s="3" t="str">
        <f>'CSE2'!J36</f>
        <v>6.5 LPA</v>
      </c>
      <c r="K109" s="3" t="str">
        <f>'CSE2'!K36</f>
        <v>Incture</v>
      </c>
      <c r="L109" s="3" t="str">
        <f>'CSE2'!L36</f>
        <v>7 LPA</v>
      </c>
      <c r="M109" s="3" t="str">
        <f>'CSE2'!M36</f>
        <v>Head Digital Works</v>
      </c>
      <c r="N109" s="3" t="str">
        <f>'CSE2'!N36</f>
        <v>12 LPA</v>
      </c>
      <c r="O109" s="3" t="str">
        <f>'CSE2'!O36</f>
        <v/>
      </c>
      <c r="P109" s="3" t="str">
        <f>'CSE2'!P36</f>
        <v/>
      </c>
      <c r="Q109" s="3" t="str">
        <f>'CSE2'!Q36</f>
        <v/>
      </c>
      <c r="R109" s="3" t="str">
        <f>'CSE2'!R36</f>
        <v/>
      </c>
      <c r="S109" s="3" t="str">
        <f>'CSE2'!S36</f>
        <v/>
      </c>
      <c r="T109" s="3" t="str">
        <f>'CSE2'!T36</f>
        <v/>
      </c>
      <c r="U109" s="3" t="str">
        <f>'CSE2'!U36</f>
        <v/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4">
        <v>109.0</v>
      </c>
      <c r="B110" s="3">
        <f>'CSE2'!B37</f>
        <v>160118733099</v>
      </c>
      <c r="C110" s="3" t="str">
        <f>'CSE2'!C37</f>
        <v>Jayanth Varma Pinnani</v>
      </c>
      <c r="D110" s="7" t="str">
        <f>'CSE2'!D37</f>
        <v/>
      </c>
      <c r="E110" s="3" t="str">
        <f>'CSE2'!E37</f>
        <v/>
      </c>
      <c r="F110" s="3" t="str">
        <f>'CSE2'!F37</f>
        <v/>
      </c>
      <c r="G110" s="3" t="str">
        <f>'CSE2'!G37</f>
        <v/>
      </c>
      <c r="H110" s="3" t="str">
        <f>'CSE2'!H37</f>
        <v/>
      </c>
      <c r="I110" s="3" t="str">
        <f>'CSE2'!I37</f>
        <v/>
      </c>
      <c r="J110" s="3" t="str">
        <f>'CSE2'!J37</f>
        <v/>
      </c>
      <c r="K110" s="3" t="str">
        <f>'CSE2'!K37</f>
        <v/>
      </c>
      <c r="L110" s="3" t="str">
        <f>'CSE2'!L37</f>
        <v/>
      </c>
      <c r="M110" s="3" t="str">
        <f>'CSE2'!M37</f>
        <v/>
      </c>
      <c r="N110" s="3" t="str">
        <f>'CSE2'!N37</f>
        <v/>
      </c>
      <c r="O110" s="3" t="str">
        <f>'CSE2'!O37</f>
        <v/>
      </c>
      <c r="P110" s="3" t="str">
        <f>'CSE2'!P37</f>
        <v/>
      </c>
      <c r="Q110" s="3" t="str">
        <f>'CSE2'!Q37</f>
        <v/>
      </c>
      <c r="R110" s="3" t="str">
        <f>'CSE2'!R37</f>
        <v/>
      </c>
      <c r="S110" s="3" t="str">
        <f>'CSE2'!S37</f>
        <v/>
      </c>
      <c r="T110" s="3" t="str">
        <f>'CSE2'!T37</f>
        <v/>
      </c>
      <c r="U110" s="3" t="str">
        <f>'CSE2'!U37</f>
        <v/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4">
        <v>110.0</v>
      </c>
      <c r="B111" s="3">
        <f>'CSE2'!B38</f>
        <v>160118733100</v>
      </c>
      <c r="C111" s="3" t="str">
        <f>'CSE2'!C38</f>
        <v>Jayanth Vunnam</v>
      </c>
      <c r="D111" s="7" t="str">
        <f>'CSE2'!D38</f>
        <v>YES</v>
      </c>
      <c r="E111" s="3" t="str">
        <f>'CSE2'!E38</f>
        <v>Infosys (DSE)</v>
      </c>
      <c r="F111" s="3" t="str">
        <f>'CSE2'!F38</f>
        <v>6.25 LPA</v>
      </c>
      <c r="G111" s="3" t="str">
        <f>'CSE2'!G38</f>
        <v>Accenture (ASE)</v>
      </c>
      <c r="H111" s="3" t="str">
        <f>'CSE2'!H38</f>
        <v>4.5 LPA</v>
      </c>
      <c r="I111" s="3" t="str">
        <f>'CSE2'!I38</f>
        <v>Merilytics</v>
      </c>
      <c r="J111" s="3" t="str">
        <f>'CSE2'!J38</f>
        <v>6.5 LPA</v>
      </c>
      <c r="K111" s="3" t="str">
        <f>'CSE2'!K38</f>
        <v>Capgemini (Analyst)</v>
      </c>
      <c r="L111" s="3" t="str">
        <f>'CSE2'!L38</f>
        <v>4 LPA</v>
      </c>
      <c r="M111" s="3" t="str">
        <f>'CSE2'!M38</f>
        <v>Advance Auto Parts</v>
      </c>
      <c r="N111" s="3" t="str">
        <f>'CSE2'!N38</f>
        <v>9 LPA</v>
      </c>
      <c r="O111" s="3" t="str">
        <f>'CSE2'!O38</f>
        <v/>
      </c>
      <c r="P111" s="3" t="str">
        <f>'CSE2'!P38</f>
        <v/>
      </c>
      <c r="Q111" s="3" t="str">
        <f>'CSE2'!Q38</f>
        <v/>
      </c>
      <c r="R111" s="3" t="str">
        <f>'CSE2'!R38</f>
        <v/>
      </c>
      <c r="S111" s="3" t="str">
        <f>'CSE2'!S38</f>
        <v/>
      </c>
      <c r="T111" s="3" t="str">
        <f>'CSE2'!T38</f>
        <v/>
      </c>
      <c r="U111" s="3" t="str">
        <f>'CSE2'!U38</f>
        <v/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4">
        <v>111.0</v>
      </c>
      <c r="B112" s="3">
        <f>'CSE2'!B39</f>
        <v>160118733101</v>
      </c>
      <c r="C112" s="3" t="str">
        <f>'CSE2'!C39</f>
        <v>Khush Jain</v>
      </c>
      <c r="D112" s="7" t="str">
        <f>'CSE2'!D39</f>
        <v/>
      </c>
      <c r="E112" s="3" t="str">
        <f>'CSE2'!E39</f>
        <v/>
      </c>
      <c r="F112" s="3" t="str">
        <f>'CSE2'!F39</f>
        <v/>
      </c>
      <c r="G112" s="3" t="str">
        <f>'CSE2'!G39</f>
        <v/>
      </c>
      <c r="H112" s="3" t="str">
        <f>'CSE2'!H39</f>
        <v/>
      </c>
      <c r="I112" s="3" t="str">
        <f>'CSE2'!I39</f>
        <v/>
      </c>
      <c r="J112" s="3" t="str">
        <f>'CSE2'!J39</f>
        <v/>
      </c>
      <c r="K112" s="3" t="str">
        <f>'CSE2'!K39</f>
        <v/>
      </c>
      <c r="L112" s="3" t="str">
        <f>'CSE2'!L39</f>
        <v/>
      </c>
      <c r="M112" s="3" t="str">
        <f>'CSE2'!M39</f>
        <v/>
      </c>
      <c r="N112" s="3" t="str">
        <f>'CSE2'!N39</f>
        <v/>
      </c>
      <c r="O112" s="3" t="str">
        <f>'CSE2'!O39</f>
        <v/>
      </c>
      <c r="P112" s="3" t="str">
        <f>'CSE2'!P39</f>
        <v/>
      </c>
      <c r="Q112" s="3" t="str">
        <f>'CSE2'!Q39</f>
        <v/>
      </c>
      <c r="R112" s="3" t="str">
        <f>'CSE2'!R39</f>
        <v/>
      </c>
      <c r="S112" s="3" t="str">
        <f>'CSE2'!S39</f>
        <v/>
      </c>
      <c r="T112" s="3" t="str">
        <f>'CSE2'!T39</f>
        <v/>
      </c>
      <c r="U112" s="3" t="str">
        <f>'CSE2'!U39</f>
        <v/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4">
        <v>112.0</v>
      </c>
      <c r="B113" s="3">
        <f>'CSE2'!B40</f>
        <v>160118733102</v>
      </c>
      <c r="C113" s="3" t="str">
        <f>'CSE2'!C40</f>
        <v>Manideep Kalyanam</v>
      </c>
      <c r="D113" s="7" t="str">
        <f>'CSE2'!D40</f>
        <v>YES</v>
      </c>
      <c r="E113" s="3" t="str">
        <f>'CSE2'!E40</f>
        <v>Capgemini (Sr.Analyst)</v>
      </c>
      <c r="F113" s="3" t="str">
        <f>'CSE2'!F40</f>
        <v>7.5 LPA</v>
      </c>
      <c r="G113" s="3" t="str">
        <f>'CSE2'!G40</f>
        <v>Modak Analytics</v>
      </c>
      <c r="H113" s="3" t="str">
        <f>'CSE2'!H40</f>
        <v>6 LPA</v>
      </c>
      <c r="I113" s="3" t="str">
        <f>'CSE2'!I40</f>
        <v>Accenture (ASE)</v>
      </c>
      <c r="J113" s="3" t="str">
        <f>'CSE2'!J40</f>
        <v>4.5 LPA</v>
      </c>
      <c r="K113" s="3" t="str">
        <f>'CSE2'!K40</f>
        <v>Darwin Box (Internship)</v>
      </c>
      <c r="L113" s="3" t="str">
        <f>'CSE2'!L40</f>
        <v>25K</v>
      </c>
      <c r="M113" s="3" t="str">
        <f>'CSE2'!M40</f>
        <v/>
      </c>
      <c r="N113" s="3" t="str">
        <f>'CSE2'!N40</f>
        <v/>
      </c>
      <c r="O113" s="3" t="str">
        <f>'CSE2'!O40</f>
        <v/>
      </c>
      <c r="P113" s="3" t="str">
        <f>'CSE2'!P40</f>
        <v/>
      </c>
      <c r="Q113" s="3" t="str">
        <f>'CSE2'!Q40</f>
        <v/>
      </c>
      <c r="R113" s="3" t="str">
        <f>'CSE2'!R40</f>
        <v/>
      </c>
      <c r="S113" s="3" t="str">
        <f>'CSE2'!S40</f>
        <v/>
      </c>
      <c r="T113" s="3" t="str">
        <f>'CSE2'!T40</f>
        <v/>
      </c>
      <c r="U113" s="3" t="str">
        <f>'CSE2'!U40</f>
        <v/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4">
        <v>113.0</v>
      </c>
      <c r="B114" s="3">
        <f>'CSE2'!B41</f>
        <v>160118733103</v>
      </c>
      <c r="C114" s="3" t="str">
        <f>'CSE2'!C41</f>
        <v>Pavan Kumar</v>
      </c>
      <c r="D114" s="7" t="str">
        <f>'CSE2'!D41</f>
        <v/>
      </c>
      <c r="E114" s="3" t="str">
        <f>'CSE2'!E41</f>
        <v/>
      </c>
      <c r="F114" s="3" t="str">
        <f>'CSE2'!F41</f>
        <v/>
      </c>
      <c r="G114" s="3" t="str">
        <f>'CSE2'!G41</f>
        <v/>
      </c>
      <c r="H114" s="3" t="str">
        <f>'CSE2'!H41</f>
        <v/>
      </c>
      <c r="I114" s="3" t="str">
        <f>'CSE2'!I41</f>
        <v/>
      </c>
      <c r="J114" s="3" t="str">
        <f>'CSE2'!J41</f>
        <v/>
      </c>
      <c r="K114" s="3" t="str">
        <f>'CSE2'!K41</f>
        <v/>
      </c>
      <c r="L114" s="3" t="str">
        <f>'CSE2'!L41</f>
        <v/>
      </c>
      <c r="M114" s="3" t="str">
        <f>'CSE2'!M41</f>
        <v/>
      </c>
      <c r="N114" s="3" t="str">
        <f>'CSE2'!N41</f>
        <v/>
      </c>
      <c r="O114" s="3" t="str">
        <f>'CSE2'!O41</f>
        <v/>
      </c>
      <c r="P114" s="3" t="str">
        <f>'CSE2'!P41</f>
        <v/>
      </c>
      <c r="Q114" s="3" t="str">
        <f>'CSE2'!Q41</f>
        <v/>
      </c>
      <c r="R114" s="3" t="str">
        <f>'CSE2'!R41</f>
        <v/>
      </c>
      <c r="S114" s="3" t="str">
        <f>'CSE2'!S41</f>
        <v/>
      </c>
      <c r="T114" s="3" t="str">
        <f>'CSE2'!T41</f>
        <v/>
      </c>
      <c r="U114" s="3" t="str">
        <f>'CSE2'!U41</f>
        <v/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4">
        <v>114.0</v>
      </c>
      <c r="B115" s="3">
        <f>'CSE2'!B42</f>
        <v>160118733105</v>
      </c>
      <c r="C115" s="3" t="str">
        <f>'CSE2'!C42</f>
        <v>Ammanaa Pranith Reddy</v>
      </c>
      <c r="D115" s="7" t="str">
        <f>'CSE2'!D42</f>
        <v/>
      </c>
      <c r="E115" s="3" t="str">
        <f>'CSE2'!E42</f>
        <v/>
      </c>
      <c r="F115" s="3" t="str">
        <f>'CSE2'!F42</f>
        <v/>
      </c>
      <c r="G115" s="3" t="str">
        <f>'CSE2'!G42</f>
        <v/>
      </c>
      <c r="H115" s="3" t="str">
        <f>'CSE2'!H42</f>
        <v/>
      </c>
      <c r="I115" s="3" t="str">
        <f>'CSE2'!I42</f>
        <v/>
      </c>
      <c r="J115" s="3" t="str">
        <f>'CSE2'!J42</f>
        <v/>
      </c>
      <c r="K115" s="3" t="str">
        <f>'CSE2'!K42</f>
        <v/>
      </c>
      <c r="L115" s="3" t="str">
        <f>'CSE2'!L42</f>
        <v/>
      </c>
      <c r="M115" s="3" t="str">
        <f>'CSE2'!M42</f>
        <v/>
      </c>
      <c r="N115" s="3" t="str">
        <f>'CSE2'!N42</f>
        <v/>
      </c>
      <c r="O115" s="3" t="str">
        <f>'CSE2'!O42</f>
        <v/>
      </c>
      <c r="P115" s="3" t="str">
        <f>'CSE2'!P42</f>
        <v/>
      </c>
      <c r="Q115" s="3" t="str">
        <f>'CSE2'!Q42</f>
        <v/>
      </c>
      <c r="R115" s="3" t="str">
        <f>'CSE2'!R42</f>
        <v/>
      </c>
      <c r="S115" s="3" t="str">
        <f>'CSE2'!S42</f>
        <v/>
      </c>
      <c r="T115" s="3" t="str">
        <f>'CSE2'!T42</f>
        <v/>
      </c>
      <c r="U115" s="3" t="str">
        <f>'CSE2'!U42</f>
        <v/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4">
        <v>115.0</v>
      </c>
      <c r="B116" s="3">
        <f>'CSE2'!B43</f>
        <v>160118733106</v>
      </c>
      <c r="C116" s="3" t="str">
        <f>'CSE2'!C43</f>
        <v>Prashanth Chavanapalli</v>
      </c>
      <c r="D116" s="7" t="str">
        <f>'CSE2'!D43</f>
        <v>YES</v>
      </c>
      <c r="E116" s="3" t="str">
        <f>'CSE2'!E43</f>
        <v>Cognizant GenC</v>
      </c>
      <c r="F116" s="3" t="str">
        <f>'CSE2'!F43</f>
        <v>4 LPA</v>
      </c>
      <c r="G116" s="3" t="str">
        <f>'CSE2'!G43</f>
        <v>Capgemini (Analyst)</v>
      </c>
      <c r="H116" s="3" t="str">
        <f>'CSE2'!H43</f>
        <v>4 LPA</v>
      </c>
      <c r="I116" s="3" t="str">
        <f>'CSE2'!I43</f>
        <v>Wipro</v>
      </c>
      <c r="J116" s="3" t="str">
        <f>'CSE2'!J43</f>
        <v>3.5 LPA</v>
      </c>
      <c r="K116" s="3" t="str">
        <f>'CSE2'!K43</f>
        <v/>
      </c>
      <c r="L116" s="3" t="str">
        <f>'CSE2'!L43</f>
        <v/>
      </c>
      <c r="M116" s="3" t="str">
        <f>'CSE2'!M43</f>
        <v/>
      </c>
      <c r="N116" s="3" t="str">
        <f>'CSE2'!N43</f>
        <v/>
      </c>
      <c r="O116" s="3" t="str">
        <f>'CSE2'!O43</f>
        <v/>
      </c>
      <c r="P116" s="3" t="str">
        <f>'CSE2'!P43</f>
        <v/>
      </c>
      <c r="Q116" s="3" t="str">
        <f>'CSE2'!Q43</f>
        <v/>
      </c>
      <c r="R116" s="3" t="str">
        <f>'CSE2'!R43</f>
        <v/>
      </c>
      <c r="S116" s="3" t="str">
        <f>'CSE2'!S43</f>
        <v/>
      </c>
      <c r="T116" s="3" t="str">
        <f>'CSE2'!T43</f>
        <v/>
      </c>
      <c r="U116" s="3" t="str">
        <f>'CSE2'!U43</f>
        <v/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4">
        <v>116.0</v>
      </c>
      <c r="B117" s="3">
        <f>'CSE2'!B44</f>
        <v>160118733107</v>
      </c>
      <c r="C117" s="3" t="str">
        <f>'CSE2'!C44</f>
        <v>Pushpak Ganagoni</v>
      </c>
      <c r="D117" s="7" t="str">
        <f>'CSE2'!D44</f>
        <v/>
      </c>
      <c r="E117" s="3" t="str">
        <f>'CSE2'!E44</f>
        <v>Accenture (ASE)</v>
      </c>
      <c r="F117" s="3" t="str">
        <f>'CSE2'!F44</f>
        <v>4.5 LPA</v>
      </c>
      <c r="G117" s="3" t="str">
        <f>'CSE2'!G44</f>
        <v>LTI (Level 2)</v>
      </c>
      <c r="H117" s="3" t="str">
        <f>'CSE2'!H44</f>
        <v>6.5 LPA</v>
      </c>
      <c r="I117" s="3" t="str">
        <f>'CSE2'!I44</f>
        <v>DBS</v>
      </c>
      <c r="J117" s="3" t="str">
        <f>'CSE2'!J44</f>
        <v>8.5 LPA</v>
      </c>
      <c r="K117" s="3" t="str">
        <f>'CSE2'!K44</f>
        <v/>
      </c>
      <c r="L117" s="3" t="str">
        <f>'CSE2'!L44</f>
        <v/>
      </c>
      <c r="M117" s="3" t="str">
        <f>'CSE2'!M44</f>
        <v/>
      </c>
      <c r="N117" s="3" t="str">
        <f>'CSE2'!N44</f>
        <v/>
      </c>
      <c r="O117" s="3" t="str">
        <f>'CSE2'!O44</f>
        <v/>
      </c>
      <c r="P117" s="3" t="str">
        <f>'CSE2'!P44</f>
        <v/>
      </c>
      <c r="Q117" s="3" t="str">
        <f>'CSE2'!Q44</f>
        <v/>
      </c>
      <c r="R117" s="3" t="str">
        <f>'CSE2'!R44</f>
        <v/>
      </c>
      <c r="S117" s="3" t="str">
        <f>'CSE2'!S44</f>
        <v/>
      </c>
      <c r="T117" s="3" t="str">
        <f>'CSE2'!T44</f>
        <v/>
      </c>
      <c r="U117" s="3" t="str">
        <f>'CSE2'!U44</f>
        <v/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4">
        <v>117.0</v>
      </c>
      <c r="B118" s="3">
        <f>'CSE2'!B45</f>
        <v>160118733108</v>
      </c>
      <c r="C118" s="3" t="str">
        <f>'CSE2'!C45</f>
        <v>Polkumpally Rohan Goud</v>
      </c>
      <c r="D118" s="7" t="str">
        <f>'CSE2'!D45</f>
        <v>YES</v>
      </c>
      <c r="E118" s="3" t="str">
        <f>'CSE2'!E45</f>
        <v>LTI (Level 2)</v>
      </c>
      <c r="F118" s="3" t="str">
        <f>'CSE2'!F45</f>
        <v>6.5 LPA</v>
      </c>
      <c r="G118" s="3" t="str">
        <f>'CSE2'!G45</f>
        <v>Cognizant GenC Elevate</v>
      </c>
      <c r="H118" s="3" t="str">
        <f>'CSE2'!H45</f>
        <v>4 LPA</v>
      </c>
      <c r="I118" s="3" t="str">
        <f>'CSE2'!I45</f>
        <v>Capgemini (Analyst)</v>
      </c>
      <c r="J118" s="3" t="str">
        <f>'CSE2'!J45</f>
        <v>4 LPA</v>
      </c>
      <c r="K118" s="3" t="str">
        <f>'CSE2'!K45</f>
        <v>Wipro</v>
      </c>
      <c r="L118" s="3" t="str">
        <f>'CSE2'!L45</f>
        <v>3.5 LPA</v>
      </c>
      <c r="M118" s="3" t="str">
        <f>'CSE2'!M45</f>
        <v>Advance Auto Parts</v>
      </c>
      <c r="N118" s="3" t="str">
        <f>'CSE2'!N45</f>
        <v>9 LPA</v>
      </c>
      <c r="O118" s="3" t="str">
        <f>'CSE2'!O45</f>
        <v/>
      </c>
      <c r="P118" s="3" t="str">
        <f>'CSE2'!P45</f>
        <v/>
      </c>
      <c r="Q118" s="3" t="str">
        <f>'CSE2'!Q45</f>
        <v/>
      </c>
      <c r="R118" s="3" t="str">
        <f>'CSE2'!R45</f>
        <v/>
      </c>
      <c r="S118" s="3" t="str">
        <f>'CSE2'!S45</f>
        <v/>
      </c>
      <c r="T118" s="3" t="str">
        <f>'CSE2'!T45</f>
        <v/>
      </c>
      <c r="U118" s="3" t="str">
        <f>'CSE2'!U45</f>
        <v/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4">
        <v>118.0</v>
      </c>
      <c r="B119" s="3">
        <f>'CSE2'!B46</f>
        <v>160118733109</v>
      </c>
      <c r="C119" s="3" t="str">
        <f>'CSE2'!C46</f>
        <v>Sai Kiran Chetti</v>
      </c>
      <c r="D119" s="7" t="str">
        <f>'CSE2'!D46</f>
        <v>YES</v>
      </c>
      <c r="E119" s="3" t="str">
        <f>'CSE2'!E46</f>
        <v>Amazon (Internship)</v>
      </c>
      <c r="F119" s="3" t="str">
        <f>'CSE2'!F46</f>
        <v>50k</v>
      </c>
      <c r="G119" s="3" t="str">
        <f>'CSE2'!G46</f>
        <v>LTI (Level 2)</v>
      </c>
      <c r="H119" s="3" t="str">
        <f>'CSE2'!H46</f>
        <v>6.5 LPA</v>
      </c>
      <c r="I119" s="3" t="str">
        <f>'CSE2'!I46</f>
        <v>Cognizant GenC</v>
      </c>
      <c r="J119" s="3" t="str">
        <f>'CSE2'!J46</f>
        <v>4 LPA</v>
      </c>
      <c r="K119" s="3" t="str">
        <f>'CSE2'!K46</f>
        <v>Advance Auto Parts</v>
      </c>
      <c r="L119" s="3" t="str">
        <f>'CSE2'!L46</f>
        <v>9 LPA</v>
      </c>
      <c r="M119" s="3" t="str">
        <f>'CSE2'!M46</f>
        <v>Gap</v>
      </c>
      <c r="N119" s="3" t="str">
        <f>'CSE2'!N46</f>
        <v>9.08 LPA</v>
      </c>
      <c r="O119" s="3" t="str">
        <f>'CSE2'!O46</f>
        <v/>
      </c>
      <c r="P119" s="3" t="str">
        <f>'CSE2'!P46</f>
        <v/>
      </c>
      <c r="Q119" s="3" t="str">
        <f>'CSE2'!Q46</f>
        <v/>
      </c>
      <c r="R119" s="3" t="str">
        <f>'CSE2'!R46</f>
        <v/>
      </c>
      <c r="S119" s="3" t="str">
        <f>'CSE2'!S46</f>
        <v/>
      </c>
      <c r="T119" s="3" t="str">
        <f>'CSE2'!T46</f>
        <v/>
      </c>
      <c r="U119" s="3" t="str">
        <f>'CSE2'!U46</f>
        <v/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4">
        <v>119.0</v>
      </c>
      <c r="B120" s="3">
        <f>'CSE2'!B47</f>
        <v>160118733110</v>
      </c>
      <c r="C120" s="3" t="str">
        <f>'CSE2'!C47</f>
        <v>Sai kiran Gandham</v>
      </c>
      <c r="D120" s="7" t="str">
        <f>'CSE2'!D47</f>
        <v/>
      </c>
      <c r="E120" s="3" t="str">
        <f>'CSE2'!E47</f>
        <v/>
      </c>
      <c r="F120" s="3" t="str">
        <f>'CSE2'!F47</f>
        <v/>
      </c>
      <c r="G120" s="3" t="str">
        <f>'CSE2'!G47</f>
        <v/>
      </c>
      <c r="H120" s="3" t="str">
        <f>'CSE2'!H47</f>
        <v/>
      </c>
      <c r="I120" s="3" t="str">
        <f>'CSE2'!I47</f>
        <v/>
      </c>
      <c r="J120" s="3" t="str">
        <f>'CSE2'!J47</f>
        <v/>
      </c>
      <c r="K120" s="3" t="str">
        <f>'CSE2'!K47</f>
        <v/>
      </c>
      <c r="L120" s="3" t="str">
        <f>'CSE2'!L47</f>
        <v/>
      </c>
      <c r="M120" s="3" t="str">
        <f>'CSE2'!M47</f>
        <v/>
      </c>
      <c r="N120" s="3" t="str">
        <f>'CSE2'!N47</f>
        <v/>
      </c>
      <c r="O120" s="3" t="str">
        <f>'CSE2'!O47</f>
        <v/>
      </c>
      <c r="P120" s="3" t="str">
        <f>'CSE2'!P47</f>
        <v/>
      </c>
      <c r="Q120" s="3" t="str">
        <f>'CSE2'!Q47</f>
        <v/>
      </c>
      <c r="R120" s="3" t="str">
        <f>'CSE2'!R47</f>
        <v/>
      </c>
      <c r="S120" s="3" t="str">
        <f>'CSE2'!S47</f>
        <v/>
      </c>
      <c r="T120" s="3" t="str">
        <f>'CSE2'!T47</f>
        <v/>
      </c>
      <c r="U120" s="3" t="str">
        <f>'CSE2'!U47</f>
        <v/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4">
        <v>120.0</v>
      </c>
      <c r="B121" s="3">
        <f>'CSE2'!B48</f>
        <v>160118733111</v>
      </c>
      <c r="C121" s="3" t="str">
        <f>'CSE2'!C48</f>
        <v>Tuljaram Sai Sankalp Singh</v>
      </c>
      <c r="D121" s="7" t="str">
        <f>'CSE2'!D48</f>
        <v>YES</v>
      </c>
      <c r="E121" s="3" t="str">
        <f>'CSE2'!E48</f>
        <v>LTI (Level 2)</v>
      </c>
      <c r="F121" s="3" t="str">
        <f>'CSE2'!F48</f>
        <v>6.5 LPA</v>
      </c>
      <c r="G121" s="3" t="str">
        <f>'CSE2'!G48</f>
        <v>Cognizant GenC Elevate</v>
      </c>
      <c r="H121" s="3" t="str">
        <f>'CSE2'!H48</f>
        <v>4 LPA</v>
      </c>
      <c r="I121" s="3" t="str">
        <f>'CSE2'!I48</f>
        <v>Capgemini (Analyst)</v>
      </c>
      <c r="J121" s="3" t="str">
        <f>'CSE2'!J48</f>
        <v>4 LPA</v>
      </c>
      <c r="K121" s="3" t="str">
        <f>'CSE2'!K48</f>
        <v/>
      </c>
      <c r="L121" s="3" t="str">
        <f>'CSE2'!L48</f>
        <v/>
      </c>
      <c r="M121" s="3" t="str">
        <f>'CSE2'!M48</f>
        <v/>
      </c>
      <c r="N121" s="3" t="str">
        <f>'CSE2'!N48</f>
        <v/>
      </c>
      <c r="O121" s="3" t="str">
        <f>'CSE2'!O48</f>
        <v/>
      </c>
      <c r="P121" s="3" t="str">
        <f>'CSE2'!P48</f>
        <v/>
      </c>
      <c r="Q121" s="3" t="str">
        <f>'CSE2'!Q48</f>
        <v/>
      </c>
      <c r="R121" s="3" t="str">
        <f>'CSE2'!R48</f>
        <v/>
      </c>
      <c r="S121" s="3" t="str">
        <f>'CSE2'!S48</f>
        <v/>
      </c>
      <c r="T121" s="3" t="str">
        <f>'CSE2'!T48</f>
        <v/>
      </c>
      <c r="U121" s="3" t="str">
        <f>'CSE2'!U48</f>
        <v/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4">
        <v>121.0</v>
      </c>
      <c r="B122" s="3">
        <f>'CSE2'!B49</f>
        <v>160118733112</v>
      </c>
      <c r="C122" s="3" t="str">
        <f>'CSE2'!C49</f>
        <v>Sai Sasank Majety</v>
      </c>
      <c r="D122" s="7" t="str">
        <f>'CSE2'!D49</f>
        <v>YES</v>
      </c>
      <c r="E122" s="3" t="str">
        <f>'CSE2'!E49</f>
        <v>Deloitte (Tax)</v>
      </c>
      <c r="F122" s="3" t="str">
        <f>'CSE2'!F49</f>
        <v>7.6 LPA</v>
      </c>
      <c r="G122" s="3" t="str">
        <f>'CSE2'!G49</f>
        <v>Futures First (Internship)</v>
      </c>
      <c r="H122" s="3" t="str">
        <f>'CSE2'!H49</f>
        <v>20K</v>
      </c>
      <c r="I122" s="3" t="str">
        <f>'CSE2'!I49</f>
        <v>Darwin Box (Internship)</v>
      </c>
      <c r="J122" s="3" t="str">
        <f>'CSE2'!J49</f>
        <v>25K</v>
      </c>
      <c r="K122" s="3" t="str">
        <f>'CSE2'!K49</f>
        <v>Infosys (DSE)</v>
      </c>
      <c r="L122" s="3" t="str">
        <f>'CSE2'!L49</f>
        <v>6.25 LPA</v>
      </c>
      <c r="M122" s="3" t="str">
        <f>'CSE2'!M49</f>
        <v/>
      </c>
      <c r="N122" s="3" t="str">
        <f>'CSE2'!N49</f>
        <v/>
      </c>
      <c r="O122" s="3" t="str">
        <f>'CSE2'!O49</f>
        <v/>
      </c>
      <c r="P122" s="3" t="str">
        <f>'CSE2'!P49</f>
        <v/>
      </c>
      <c r="Q122" s="3" t="str">
        <f>'CSE2'!Q49</f>
        <v/>
      </c>
      <c r="R122" s="3" t="str">
        <f>'CSE2'!R49</f>
        <v/>
      </c>
      <c r="S122" s="3" t="str">
        <f>'CSE2'!S49</f>
        <v/>
      </c>
      <c r="T122" s="3" t="str">
        <f>'CSE2'!T49</f>
        <v/>
      </c>
      <c r="U122" s="3" t="str">
        <f>'CSE2'!U49</f>
        <v/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4">
        <v>122.0</v>
      </c>
      <c r="B123" s="3">
        <f>'CSE2'!B50</f>
        <v>160118733113</v>
      </c>
      <c r="C123" s="3" t="str">
        <f>'CSE2'!C50</f>
        <v>Sairaj Gurram</v>
      </c>
      <c r="D123" s="7" t="str">
        <f>'CSE2'!D50</f>
        <v>YES</v>
      </c>
      <c r="E123" s="3" t="str">
        <f>'CSE2'!E50</f>
        <v>Capgemini (Sr.Analyst)</v>
      </c>
      <c r="F123" s="3" t="str">
        <f>'CSE2'!F50</f>
        <v>7.5 LPA</v>
      </c>
      <c r="G123" s="3" t="str">
        <f>'CSE2'!G50</f>
        <v>Accenture (Adv ASE)</v>
      </c>
      <c r="H123" s="3" t="str">
        <f>'CSE2'!H50</f>
        <v>6.5 LPA</v>
      </c>
      <c r="I123" s="3" t="str">
        <f>'CSE2'!I50</f>
        <v>Cognizant GenC</v>
      </c>
      <c r="J123" s="3" t="str">
        <f>'CSE2'!J50</f>
        <v>4 LPA</v>
      </c>
      <c r="K123" s="3" t="str">
        <f>'CSE2'!K50</f>
        <v>Wipro</v>
      </c>
      <c r="L123" s="3" t="str">
        <f>'CSE2'!L50</f>
        <v>3.5 LPA</v>
      </c>
      <c r="M123" s="3" t="str">
        <f>'CSE2'!M50</f>
        <v>Samsung (Internship)</v>
      </c>
      <c r="N123" s="3" t="str">
        <f>'CSE2'!N50</f>
        <v>30k</v>
      </c>
      <c r="O123" s="3" t="str">
        <f>'CSE2'!O50</f>
        <v/>
      </c>
      <c r="P123" s="3" t="str">
        <f>'CSE2'!P50</f>
        <v/>
      </c>
      <c r="Q123" s="3" t="str">
        <f>'CSE2'!Q50</f>
        <v/>
      </c>
      <c r="R123" s="3" t="str">
        <f>'CSE2'!R50</f>
        <v/>
      </c>
      <c r="S123" s="3" t="str">
        <f>'CSE2'!S50</f>
        <v/>
      </c>
      <c r="T123" s="3" t="str">
        <f>'CSE2'!T50</f>
        <v/>
      </c>
      <c r="U123" s="3" t="str">
        <f>'CSE2'!U50</f>
        <v/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4">
        <v>123.0</v>
      </c>
      <c r="B124" s="3">
        <f>'CSE2'!B51</f>
        <v>160118733114</v>
      </c>
      <c r="C124" s="3" t="str">
        <f>'CSE2'!C51</f>
        <v>Voodem.Saketh Reddy</v>
      </c>
      <c r="D124" s="7" t="str">
        <f>'CSE2'!D51</f>
        <v/>
      </c>
      <c r="E124" s="3" t="str">
        <f>'CSE2'!E51</f>
        <v/>
      </c>
      <c r="F124" s="3" t="str">
        <f>'CSE2'!F51</f>
        <v/>
      </c>
      <c r="G124" s="3" t="str">
        <f>'CSE2'!G51</f>
        <v/>
      </c>
      <c r="H124" s="3" t="str">
        <f>'CSE2'!H51</f>
        <v/>
      </c>
      <c r="I124" s="3" t="str">
        <f>'CSE2'!I51</f>
        <v/>
      </c>
      <c r="J124" s="3" t="str">
        <f>'CSE2'!J51</f>
        <v/>
      </c>
      <c r="K124" s="3" t="str">
        <f>'CSE2'!K51</f>
        <v/>
      </c>
      <c r="L124" s="3" t="str">
        <f>'CSE2'!L51</f>
        <v/>
      </c>
      <c r="M124" s="3" t="str">
        <f>'CSE2'!M51</f>
        <v/>
      </c>
      <c r="N124" s="3" t="str">
        <f>'CSE2'!N51</f>
        <v/>
      </c>
      <c r="O124" s="3" t="str">
        <f>'CSE2'!O51</f>
        <v/>
      </c>
      <c r="P124" s="3" t="str">
        <f>'CSE2'!P51</f>
        <v/>
      </c>
      <c r="Q124" s="3" t="str">
        <f>'CSE2'!Q51</f>
        <v/>
      </c>
      <c r="R124" s="3" t="str">
        <f>'CSE2'!R51</f>
        <v/>
      </c>
      <c r="S124" s="3" t="str">
        <f>'CSE2'!S51</f>
        <v/>
      </c>
      <c r="T124" s="3" t="str">
        <f>'CSE2'!T51</f>
        <v/>
      </c>
      <c r="U124" s="3" t="str">
        <f>'CSE2'!U51</f>
        <v/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4">
        <v>124.0</v>
      </c>
      <c r="B125" s="3">
        <f>'CSE2'!B52</f>
        <v>160118733115</v>
      </c>
      <c r="C125" s="3" t="str">
        <f>'CSE2'!C52</f>
        <v>Shanmukha Manoj Bharadwaj Korrapati</v>
      </c>
      <c r="D125" s="7" t="str">
        <f>'CSE2'!D52</f>
        <v>YES</v>
      </c>
      <c r="E125" s="3" t="str">
        <f>'CSE2'!E52</f>
        <v>Micron (IT Operations)</v>
      </c>
      <c r="F125" s="3" t="str">
        <f>'CSE2'!F52</f>
        <v>8.1 LPA</v>
      </c>
      <c r="G125" s="3" t="str">
        <f>'CSE2'!G52</f>
        <v/>
      </c>
      <c r="H125" s="3" t="str">
        <f>'CSE2'!H52</f>
        <v/>
      </c>
      <c r="I125" s="3" t="str">
        <f>'CSE2'!I52</f>
        <v/>
      </c>
      <c r="J125" s="3" t="str">
        <f>'CSE2'!J52</f>
        <v/>
      </c>
      <c r="K125" s="3" t="str">
        <f>'CSE2'!K52</f>
        <v/>
      </c>
      <c r="L125" s="3" t="str">
        <f>'CSE2'!L52</f>
        <v/>
      </c>
      <c r="M125" s="3" t="str">
        <f>'CSE2'!M52</f>
        <v/>
      </c>
      <c r="N125" s="3" t="str">
        <f>'CSE2'!N52</f>
        <v/>
      </c>
      <c r="O125" s="3" t="str">
        <f>'CSE2'!O52</f>
        <v/>
      </c>
      <c r="P125" s="3" t="str">
        <f>'CSE2'!P52</f>
        <v/>
      </c>
      <c r="Q125" s="3" t="str">
        <f>'CSE2'!Q52</f>
        <v/>
      </c>
      <c r="R125" s="3" t="str">
        <f>'CSE2'!R52</f>
        <v/>
      </c>
      <c r="S125" s="3" t="str">
        <f>'CSE2'!S52</f>
        <v/>
      </c>
      <c r="T125" s="3" t="str">
        <f>'CSE2'!T52</f>
        <v/>
      </c>
      <c r="U125" s="3" t="str">
        <f>'CSE2'!U52</f>
        <v/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4">
        <v>125.0</v>
      </c>
      <c r="B126" s="3">
        <f>'CSE2'!B53</f>
        <v>160118733116</v>
      </c>
      <c r="C126" s="3" t="str">
        <f>'CSE2'!C53</f>
        <v>Shivang Aggarwal</v>
      </c>
      <c r="D126" s="7" t="str">
        <f>'CSE2'!D53</f>
        <v>YES</v>
      </c>
      <c r="E126" s="3" t="str">
        <f>'CSE2'!E53</f>
        <v>Cognizant GenC Next</v>
      </c>
      <c r="F126" s="3" t="str">
        <f>'CSE2'!F53</f>
        <v>6.75 LPA</v>
      </c>
      <c r="G126" s="3" t="str">
        <f>'CSE2'!G53</f>
        <v>Barclays</v>
      </c>
      <c r="H126" s="3" t="str">
        <f>'CSE2'!H53</f>
        <v>12.73 LPA</v>
      </c>
      <c r="I126" s="3" t="str">
        <f>'CSE2'!I53</f>
        <v>Accenture (Adv ASE)</v>
      </c>
      <c r="J126" s="3" t="str">
        <f>'CSE2'!J53</f>
        <v>6.5 LPA</v>
      </c>
      <c r="K126" s="3" t="str">
        <f>'CSE2'!K53</f>
        <v>GE Appliances (Internship)</v>
      </c>
      <c r="L126" s="3" t="str">
        <f>'CSE2'!L53</f>
        <v>20K</v>
      </c>
      <c r="M126" s="3" t="str">
        <f>'CSE2'!M53</f>
        <v/>
      </c>
      <c r="N126" s="3" t="str">
        <f>'CSE2'!N53</f>
        <v/>
      </c>
      <c r="O126" s="3" t="str">
        <f>'CSE2'!O53</f>
        <v/>
      </c>
      <c r="P126" s="3" t="str">
        <f>'CSE2'!P53</f>
        <v/>
      </c>
      <c r="Q126" s="3" t="str">
        <f>'CSE2'!Q53</f>
        <v/>
      </c>
      <c r="R126" s="3" t="str">
        <f>'CSE2'!R53</f>
        <v/>
      </c>
      <c r="S126" s="3" t="str">
        <f>'CSE2'!S53</f>
        <v/>
      </c>
      <c r="T126" s="3" t="str">
        <f>'CSE2'!T53</f>
        <v/>
      </c>
      <c r="U126" s="3" t="str">
        <f>'CSE2'!U53</f>
        <v/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4">
        <v>126.0</v>
      </c>
      <c r="B127" s="3">
        <f>'CSE2'!B54</f>
        <v>160118733117</v>
      </c>
      <c r="C127" s="3" t="str">
        <f>'CSE2'!C54</f>
        <v>Jangam Tarun</v>
      </c>
      <c r="D127" s="7" t="str">
        <f>'CSE2'!D54</f>
        <v>YES</v>
      </c>
      <c r="E127" s="3" t="str">
        <f>'CSE2'!E54</f>
        <v>Cognizant GenC Elevate</v>
      </c>
      <c r="F127" s="3" t="str">
        <f>'CSE2'!F54</f>
        <v>4 LPA</v>
      </c>
      <c r="G127" s="3" t="str">
        <f>'CSE2'!G54</f>
        <v>Wipro</v>
      </c>
      <c r="H127" s="3" t="str">
        <f>'CSE2'!H54</f>
        <v>3.5 LPA</v>
      </c>
      <c r="I127" s="3" t="str">
        <f>'CSE2'!I54</f>
        <v>Ford Motors</v>
      </c>
      <c r="J127" s="3" t="str">
        <f>'CSE2'!J54</f>
        <v>5.7 LPA</v>
      </c>
      <c r="K127" s="3" t="str">
        <f>'CSE2'!K54</f>
        <v>Blue Yonder (Internship)</v>
      </c>
      <c r="L127" s="3" t="str">
        <f>'CSE2'!L54</f>
        <v>35K</v>
      </c>
      <c r="M127" s="3" t="str">
        <f>'CSE2'!M54</f>
        <v>DBS</v>
      </c>
      <c r="N127" s="3" t="str">
        <f>'CSE2'!N54</f>
        <v>8.5 LPA</v>
      </c>
      <c r="O127" s="3" t="str">
        <f>'CSE2'!O54</f>
        <v/>
      </c>
      <c r="P127" s="3" t="str">
        <f>'CSE2'!P54</f>
        <v/>
      </c>
      <c r="Q127" s="3" t="str">
        <f>'CSE2'!Q54</f>
        <v/>
      </c>
      <c r="R127" s="3" t="str">
        <f>'CSE2'!R54</f>
        <v/>
      </c>
      <c r="S127" s="3" t="str">
        <f>'CSE2'!S54</f>
        <v/>
      </c>
      <c r="T127" s="3" t="str">
        <f>'CSE2'!T54</f>
        <v/>
      </c>
      <c r="U127" s="3" t="str">
        <f>'CSE2'!U54</f>
        <v/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4">
        <v>127.0</v>
      </c>
      <c r="B128" s="3">
        <f>'CSE2'!B55</f>
        <v>160118733118</v>
      </c>
      <c r="C128" s="3" t="str">
        <f>'CSE2'!C55</f>
        <v>Varshith Sheggari</v>
      </c>
      <c r="D128" s="7" t="str">
        <f>'CSE2'!D55</f>
        <v/>
      </c>
      <c r="E128" s="3" t="str">
        <f>'CSE2'!E55</f>
        <v>Wipro</v>
      </c>
      <c r="F128" s="3" t="str">
        <f>'CSE2'!F55</f>
        <v>3.5 LPA</v>
      </c>
      <c r="G128" s="3" t="str">
        <f>'CSE2'!G55</f>
        <v>Virtusa</v>
      </c>
      <c r="H128" s="3" t="str">
        <f>'CSE2'!H55</f>
        <v>$45K</v>
      </c>
      <c r="I128" s="3" t="str">
        <f>'CSE2'!I55</f>
        <v/>
      </c>
      <c r="J128" s="3" t="str">
        <f>'CSE2'!J55</f>
        <v/>
      </c>
      <c r="K128" s="3" t="str">
        <f>'CSE2'!K55</f>
        <v/>
      </c>
      <c r="L128" s="3" t="str">
        <f>'CSE2'!L55</f>
        <v/>
      </c>
      <c r="M128" s="3" t="str">
        <f>'CSE2'!M55</f>
        <v/>
      </c>
      <c r="N128" s="3" t="str">
        <f>'CSE2'!N55</f>
        <v/>
      </c>
      <c r="O128" s="3" t="str">
        <f>'CSE2'!O55</f>
        <v/>
      </c>
      <c r="P128" s="3" t="str">
        <f>'CSE2'!P55</f>
        <v/>
      </c>
      <c r="Q128" s="3" t="str">
        <f>'CSE2'!Q55</f>
        <v/>
      </c>
      <c r="R128" s="3" t="str">
        <f>'CSE2'!R55</f>
        <v/>
      </c>
      <c r="S128" s="3" t="str">
        <f>'CSE2'!S55</f>
        <v/>
      </c>
      <c r="T128" s="3" t="str">
        <f>'CSE2'!T55</f>
        <v/>
      </c>
      <c r="U128" s="3" t="str">
        <f>'CSE2'!U55</f>
        <v/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4">
        <v>128.0</v>
      </c>
      <c r="B129" s="3">
        <f>'CSE2'!B56</f>
        <v>160118733119</v>
      </c>
      <c r="C129" s="3" t="str">
        <f>'CSE2'!C56</f>
        <v>Venkata Ajay Kumar Kadiyala</v>
      </c>
      <c r="D129" s="7" t="str">
        <f>'CSE2'!D56</f>
        <v/>
      </c>
      <c r="E129" s="3" t="str">
        <f>'CSE2'!E56</f>
        <v>Modak Analytics</v>
      </c>
      <c r="F129" s="3" t="str">
        <f>'CSE2'!F56</f>
        <v>6 LPA</v>
      </c>
      <c r="G129" s="3" t="str">
        <f>'CSE2'!G56</f>
        <v/>
      </c>
      <c r="H129" s="3" t="str">
        <f>'CSE2'!H56</f>
        <v/>
      </c>
      <c r="I129" s="3" t="str">
        <f>'CSE2'!I56</f>
        <v/>
      </c>
      <c r="J129" s="3" t="str">
        <f>'CSE2'!J56</f>
        <v/>
      </c>
      <c r="K129" s="3" t="str">
        <f>'CSE2'!K56</f>
        <v/>
      </c>
      <c r="L129" s="3" t="str">
        <f>'CSE2'!L56</f>
        <v/>
      </c>
      <c r="M129" s="3" t="str">
        <f>'CSE2'!M56</f>
        <v/>
      </c>
      <c r="N129" s="3" t="str">
        <f>'CSE2'!N56</f>
        <v/>
      </c>
      <c r="O129" s="3" t="str">
        <f>'CSE2'!O56</f>
        <v/>
      </c>
      <c r="P129" s="3" t="str">
        <f>'CSE2'!P56</f>
        <v/>
      </c>
      <c r="Q129" s="3" t="str">
        <f>'CSE2'!Q56</f>
        <v/>
      </c>
      <c r="R129" s="3" t="str">
        <f>'CSE2'!R56</f>
        <v/>
      </c>
      <c r="S129" s="3" t="str">
        <f>'CSE2'!S56</f>
        <v/>
      </c>
      <c r="T129" s="3" t="str">
        <f>'CSE2'!T56</f>
        <v/>
      </c>
      <c r="U129" s="3" t="str">
        <f>'CSE2'!U56</f>
        <v/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4">
        <v>129.0</v>
      </c>
      <c r="B130" s="3">
        <f>'CSE2'!B57</f>
        <v>160118733120</v>
      </c>
      <c r="C130" s="3" t="str">
        <f>'CSE2'!C57</f>
        <v>Venkata Sai Nikhil Vuyyuru</v>
      </c>
      <c r="D130" s="7" t="str">
        <f>'CSE2'!D57</f>
        <v/>
      </c>
      <c r="E130" s="3" t="str">
        <f>'CSE2'!E57</f>
        <v>Accenture (ASE)</v>
      </c>
      <c r="F130" s="3" t="str">
        <f>'CSE2'!F57</f>
        <v>4.5 LPA</v>
      </c>
      <c r="G130" s="3" t="str">
        <f>'CSE2'!G57</f>
        <v/>
      </c>
      <c r="H130" s="3" t="str">
        <f>'CSE2'!H57</f>
        <v/>
      </c>
      <c r="I130" s="3" t="str">
        <f>'CSE2'!I57</f>
        <v/>
      </c>
      <c r="J130" s="3" t="str">
        <f>'CSE2'!J57</f>
        <v/>
      </c>
      <c r="K130" s="3" t="str">
        <f>'CSE2'!K57</f>
        <v/>
      </c>
      <c r="L130" s="3" t="str">
        <f>'CSE2'!L57</f>
        <v/>
      </c>
      <c r="M130" s="3" t="str">
        <f>'CSE2'!M57</f>
        <v/>
      </c>
      <c r="N130" s="3" t="str">
        <f>'CSE2'!N57</f>
        <v/>
      </c>
      <c r="O130" s="3" t="str">
        <f>'CSE2'!O57</f>
        <v/>
      </c>
      <c r="P130" s="3" t="str">
        <f>'CSE2'!P57</f>
        <v/>
      </c>
      <c r="Q130" s="3" t="str">
        <f>'CSE2'!Q57</f>
        <v/>
      </c>
      <c r="R130" s="3" t="str">
        <f>'CSE2'!R57</f>
        <v/>
      </c>
      <c r="S130" s="3" t="str">
        <f>'CSE2'!S57</f>
        <v/>
      </c>
      <c r="T130" s="3" t="str">
        <f>'CSE2'!T57</f>
        <v/>
      </c>
      <c r="U130" s="3" t="str">
        <f>'CSE2'!U57</f>
        <v/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4">
        <v>130.0</v>
      </c>
      <c r="B131" s="3">
        <f>'CSE2'!B58</f>
        <v>160118733183</v>
      </c>
      <c r="C131" s="3" t="str">
        <f>'CSE2'!C58</f>
        <v>Malik Arsalan Majid</v>
      </c>
      <c r="D131" s="7" t="str">
        <f>'CSE2'!D58</f>
        <v>YES</v>
      </c>
      <c r="E131" s="3" t="str">
        <f>'CSE2'!E58</f>
        <v>Alliant Group</v>
      </c>
      <c r="F131" s="3" t="str">
        <f>'CSE2'!F58</f>
        <v>5.5 LPA</v>
      </c>
      <c r="G131" s="3" t="str">
        <f>'CSE2'!G58</f>
        <v/>
      </c>
      <c r="H131" s="3" t="str">
        <f>'CSE2'!H58</f>
        <v/>
      </c>
      <c r="I131" s="3" t="str">
        <f>'CSE2'!I58</f>
        <v/>
      </c>
      <c r="J131" s="3" t="str">
        <f>'CSE2'!J58</f>
        <v/>
      </c>
      <c r="K131" s="3" t="str">
        <f>'CSE2'!K58</f>
        <v/>
      </c>
      <c r="L131" s="3" t="str">
        <f>'CSE2'!L58</f>
        <v/>
      </c>
      <c r="M131" s="3" t="str">
        <f>'CSE2'!M58</f>
        <v/>
      </c>
      <c r="N131" s="3" t="str">
        <f>'CSE2'!N58</f>
        <v/>
      </c>
      <c r="O131" s="3" t="str">
        <f>'CSE2'!O58</f>
        <v/>
      </c>
      <c r="P131" s="3" t="str">
        <f>'CSE2'!P58</f>
        <v/>
      </c>
      <c r="Q131" s="3" t="str">
        <f>'CSE2'!Q58</f>
        <v/>
      </c>
      <c r="R131" s="3" t="str">
        <f>'CSE2'!R58</f>
        <v/>
      </c>
      <c r="S131" s="3" t="str">
        <f>'CSE2'!S58</f>
        <v/>
      </c>
      <c r="T131" s="3" t="str">
        <f>'CSE2'!T58</f>
        <v/>
      </c>
      <c r="U131" s="3" t="str">
        <f>'CSE2'!U58</f>
        <v/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4">
        <v>131.0</v>
      </c>
      <c r="B132" s="3">
        <f>'CSE2'!B59</f>
        <v>160118733184</v>
      </c>
      <c r="C132" s="3" t="str">
        <f>'CSE2'!C59</f>
        <v>Vaneet Kapoor</v>
      </c>
      <c r="D132" s="7" t="str">
        <f>'CSE2'!D59</f>
        <v/>
      </c>
      <c r="E132" s="3" t="str">
        <f>'CSE2'!E59</f>
        <v>Cognizant GenC Elevate</v>
      </c>
      <c r="F132" s="3" t="str">
        <f>'CSE2'!F59</f>
        <v>4 LPA</v>
      </c>
      <c r="G132" s="3" t="str">
        <f>'CSE2'!G59</f>
        <v>Amazon FTE</v>
      </c>
      <c r="H132" s="3" t="str">
        <f>'CSE2'!H59</f>
        <v>31.5 LPA</v>
      </c>
      <c r="I132" s="3" t="str">
        <f>'CSE2'!I59</f>
        <v>Accenture (ASE)</v>
      </c>
      <c r="J132" s="3" t="str">
        <f>'CSE2'!J59</f>
        <v>4.5 LPA</v>
      </c>
      <c r="K132" s="3" t="str">
        <f>'CSE2'!K59</f>
        <v>LTI (Level 2)</v>
      </c>
      <c r="L132" s="3" t="str">
        <f>'CSE2'!L59</f>
        <v>6.5 LPA</v>
      </c>
      <c r="M132" s="3" t="str">
        <f>'CSE2'!M59</f>
        <v>GAP</v>
      </c>
      <c r="N132" s="3" t="str">
        <f>'CSE2'!N59</f>
        <v>9.08 LPA</v>
      </c>
      <c r="O132" s="3" t="str">
        <f>'CSE2'!O59</f>
        <v/>
      </c>
      <c r="P132" s="3" t="str">
        <f>'CSE2'!P59</f>
        <v/>
      </c>
      <c r="Q132" s="3" t="str">
        <f>'CSE2'!Q59</f>
        <v/>
      </c>
      <c r="R132" s="3" t="str">
        <f>'CSE2'!R59</f>
        <v/>
      </c>
      <c r="S132" s="3" t="str">
        <f>'CSE2'!S59</f>
        <v/>
      </c>
      <c r="T132" s="3" t="str">
        <f>'CSE2'!T59</f>
        <v/>
      </c>
      <c r="U132" s="3" t="str">
        <f>'CSE2'!U59</f>
        <v/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4">
        <v>132.0</v>
      </c>
      <c r="B133" s="3">
        <f>'CSE2'!B60</f>
        <v>160118733187</v>
      </c>
      <c r="C133" s="3" t="str">
        <f>'CSE2'!C60</f>
        <v>Kallamadi Rutva</v>
      </c>
      <c r="D133" s="7" t="str">
        <f>'CSE2'!D60</f>
        <v>YES</v>
      </c>
      <c r="E133" s="3" t="str">
        <f>'CSE2'!E60</f>
        <v>Cognizant GenC Elevate</v>
      </c>
      <c r="F133" s="3" t="str">
        <f>'CSE2'!F60</f>
        <v>4 LPA</v>
      </c>
      <c r="G133" s="3" t="str">
        <f>'CSE2'!G60</f>
        <v>Infosys (SE)</v>
      </c>
      <c r="H133" s="3" t="str">
        <f>'CSE2'!H60</f>
        <v>3.6 LPA</v>
      </c>
      <c r="I133" s="3" t="str">
        <f>'CSE2'!I60</f>
        <v>PwC Acceleration Center</v>
      </c>
      <c r="J133" s="3" t="str">
        <f>'CSE2'!J60</f>
        <v>6 LPA</v>
      </c>
      <c r="K133" s="3" t="str">
        <f>'CSE2'!K60</f>
        <v>Genc Pro</v>
      </c>
      <c r="L133" s="3" t="str">
        <f>'CSE2'!L60</f>
        <v>5.4 LPA</v>
      </c>
      <c r="M133" s="3" t="str">
        <f>'CSE2'!M60</f>
        <v>Mu Sigma</v>
      </c>
      <c r="N133" s="3" t="str">
        <f>'CSE2'!N60</f>
        <v>3.5 LPA</v>
      </c>
      <c r="O133" s="3" t="str">
        <f>'CSE2'!O60</f>
        <v/>
      </c>
      <c r="P133" s="3" t="str">
        <f>'CSE2'!P60</f>
        <v/>
      </c>
      <c r="Q133" s="3" t="str">
        <f>'CSE2'!Q60</f>
        <v/>
      </c>
      <c r="R133" s="3" t="str">
        <f>'CSE2'!R60</f>
        <v/>
      </c>
      <c r="S133" s="3" t="str">
        <f>'CSE2'!S60</f>
        <v/>
      </c>
      <c r="T133" s="3" t="str">
        <f>'CSE2'!T60</f>
        <v/>
      </c>
      <c r="U133" s="3" t="str">
        <f>'CSE2'!U60</f>
        <v/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4">
        <v>133.0</v>
      </c>
      <c r="B134" s="3">
        <f>'CSE2'!B61</f>
        <v>160118733307</v>
      </c>
      <c r="C134" s="3" t="str">
        <f>'CSE2'!C61</f>
        <v>Mohammed Basheer Uddin</v>
      </c>
      <c r="D134" s="7" t="str">
        <f>'CSE2'!D61</f>
        <v/>
      </c>
      <c r="E134" s="3" t="str">
        <f>'CSE2'!E61</f>
        <v>Wipro</v>
      </c>
      <c r="F134" s="3" t="str">
        <f>'CSE2'!F61</f>
        <v>3.5 LPA</v>
      </c>
      <c r="G134" s="3" t="str">
        <f>'CSE2'!G61</f>
        <v>Hexagon</v>
      </c>
      <c r="H134" s="3" t="str">
        <f>'CSE2'!H61</f>
        <v>5.5 LPA</v>
      </c>
      <c r="I134" s="3" t="str">
        <f>'CSE2'!I61</f>
        <v/>
      </c>
      <c r="J134" s="3" t="str">
        <f>'CSE2'!J61</f>
        <v/>
      </c>
      <c r="K134" s="3" t="str">
        <f>'CSE2'!K61</f>
        <v/>
      </c>
      <c r="L134" s="3" t="str">
        <f>'CSE2'!L61</f>
        <v/>
      </c>
      <c r="M134" s="3" t="str">
        <f>'CSE2'!M61</f>
        <v/>
      </c>
      <c r="N134" s="3" t="str">
        <f>'CSE2'!N61</f>
        <v/>
      </c>
      <c r="O134" s="3" t="str">
        <f>'CSE2'!O61</f>
        <v/>
      </c>
      <c r="P134" s="3" t="str">
        <f>'CSE2'!P61</f>
        <v/>
      </c>
      <c r="Q134" s="3" t="str">
        <f>'CSE2'!Q61</f>
        <v/>
      </c>
      <c r="R134" s="3" t="str">
        <f>'CSE2'!R61</f>
        <v/>
      </c>
      <c r="S134" s="3" t="str">
        <f>'CSE2'!S61</f>
        <v/>
      </c>
      <c r="T134" s="3" t="str">
        <f>'CSE2'!T61</f>
        <v/>
      </c>
      <c r="U134" s="3" t="str">
        <f>'CSE2'!U61</f>
        <v/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4">
        <v>134.0</v>
      </c>
      <c r="B135" s="3">
        <f>'CSE2'!B62</f>
        <v>160118733308</v>
      </c>
      <c r="C135" s="3" t="str">
        <f>'CSE2'!C62</f>
        <v>Domakonda Raviteja</v>
      </c>
      <c r="D135" s="7" t="str">
        <f>'CSE2'!D62</f>
        <v>YES</v>
      </c>
      <c r="E135" s="3" t="str">
        <f>'CSE2'!E62</f>
        <v>Cognizant GenC Next</v>
      </c>
      <c r="F135" s="3" t="str">
        <f>'CSE2'!F62</f>
        <v>6.75 LPA</v>
      </c>
      <c r="G135" s="3" t="str">
        <f>'CSE2'!G62</f>
        <v>Barclays</v>
      </c>
      <c r="H135" s="3" t="str">
        <f>'CSE2'!H62</f>
        <v>12.73 LPA</v>
      </c>
      <c r="I135" s="3" t="str">
        <f>'CSE2'!I62</f>
        <v/>
      </c>
      <c r="J135" s="3" t="str">
        <f>'CSE2'!J62</f>
        <v/>
      </c>
      <c r="K135" s="3" t="str">
        <f>'CSE2'!K62</f>
        <v/>
      </c>
      <c r="L135" s="3" t="str">
        <f>'CSE2'!L62</f>
        <v/>
      </c>
      <c r="M135" s="3" t="str">
        <f>'CSE2'!M62</f>
        <v/>
      </c>
      <c r="N135" s="3" t="str">
        <f>'CSE2'!N62</f>
        <v/>
      </c>
      <c r="O135" s="3" t="str">
        <f>'CSE2'!O62</f>
        <v/>
      </c>
      <c r="P135" s="3" t="str">
        <f>'CSE2'!P62</f>
        <v/>
      </c>
      <c r="Q135" s="3" t="str">
        <f>'CSE2'!Q62</f>
        <v/>
      </c>
      <c r="R135" s="3" t="str">
        <f>'CSE2'!R62</f>
        <v/>
      </c>
      <c r="S135" s="3" t="str">
        <f>'CSE2'!S62</f>
        <v/>
      </c>
      <c r="T135" s="3" t="str">
        <f>'CSE2'!T62</f>
        <v/>
      </c>
      <c r="U135" s="3" t="str">
        <f>'CSE2'!U62</f>
        <v/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4">
        <v>135.0</v>
      </c>
      <c r="B136" s="3">
        <f>'CSE2'!B63</f>
        <v>160118733309</v>
      </c>
      <c r="C136" s="3" t="str">
        <f>'CSE2'!C63</f>
        <v>Maanvitha Bhima</v>
      </c>
      <c r="D136" s="7" t="str">
        <f>'CSE2'!D63</f>
        <v>YES</v>
      </c>
      <c r="E136" s="3" t="str">
        <f>'CSE2'!E63</f>
        <v>JPMC </v>
      </c>
      <c r="F136" s="3" t="str">
        <f>'CSE2'!F63</f>
        <v>14 LPA</v>
      </c>
      <c r="G136" s="3" t="str">
        <f>'CSE2'!G63</f>
        <v/>
      </c>
      <c r="H136" s="3" t="str">
        <f>'CSE2'!H63</f>
        <v/>
      </c>
      <c r="I136" s="3" t="str">
        <f>'CSE2'!I63</f>
        <v/>
      </c>
      <c r="J136" s="3" t="str">
        <f>'CSE2'!J63</f>
        <v/>
      </c>
      <c r="K136" s="3" t="str">
        <f>'CSE2'!K63</f>
        <v/>
      </c>
      <c r="L136" s="3" t="str">
        <f>'CSE2'!L63</f>
        <v/>
      </c>
      <c r="M136" s="3" t="str">
        <f>'CSE2'!M63</f>
        <v/>
      </c>
      <c r="N136" s="3" t="str">
        <f>'CSE2'!N63</f>
        <v/>
      </c>
      <c r="O136" s="3" t="str">
        <f>'CSE2'!O63</f>
        <v/>
      </c>
      <c r="P136" s="3" t="str">
        <f>'CSE2'!P63</f>
        <v/>
      </c>
      <c r="Q136" s="3" t="str">
        <f>'CSE2'!Q63</f>
        <v/>
      </c>
      <c r="R136" s="3" t="str">
        <f>'CSE2'!R63</f>
        <v/>
      </c>
      <c r="S136" s="3" t="str">
        <f>'CSE2'!S63</f>
        <v/>
      </c>
      <c r="T136" s="3" t="str">
        <f>'CSE2'!T63</f>
        <v/>
      </c>
      <c r="U136" s="3" t="str">
        <f>'CSE2'!U63</f>
        <v/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4">
        <v>136.0</v>
      </c>
      <c r="B137" s="3">
        <f>'CSE2'!B64</f>
        <v>160118733310</v>
      </c>
      <c r="C137" s="3" t="str">
        <f>'CSE2'!C64</f>
        <v>Mohammed hafeez</v>
      </c>
      <c r="D137" s="7" t="str">
        <f>'CSE2'!D64</f>
        <v/>
      </c>
      <c r="E137" s="3" t="str">
        <f>'CSE2'!E64</f>
        <v>Ford Motors</v>
      </c>
      <c r="F137" s="3" t="str">
        <f>'CSE2'!F64</f>
        <v>5.7 LPA</v>
      </c>
      <c r="G137" s="3" t="str">
        <f>'CSE2'!G64</f>
        <v>DBS</v>
      </c>
      <c r="H137" s="3" t="str">
        <f>'CSE2'!H64</f>
        <v>8.5 LPA</v>
      </c>
      <c r="I137" s="3" t="str">
        <f>'CSE2'!I64</f>
        <v/>
      </c>
      <c r="J137" s="3" t="str">
        <f>'CSE2'!J64</f>
        <v/>
      </c>
      <c r="K137" s="3" t="str">
        <f>'CSE2'!K64</f>
        <v/>
      </c>
      <c r="L137" s="3" t="str">
        <f>'CSE2'!L64</f>
        <v/>
      </c>
      <c r="M137" s="3" t="str">
        <f>'CSE2'!M64</f>
        <v/>
      </c>
      <c r="N137" s="3" t="str">
        <f>'CSE2'!N64</f>
        <v/>
      </c>
      <c r="O137" s="3" t="str">
        <f>'CSE2'!O64</f>
        <v/>
      </c>
      <c r="P137" s="3" t="str">
        <f>'CSE2'!P64</f>
        <v/>
      </c>
      <c r="Q137" s="3" t="str">
        <f>'CSE2'!Q64</f>
        <v/>
      </c>
      <c r="R137" s="3" t="str">
        <f>'CSE2'!R64</f>
        <v/>
      </c>
      <c r="S137" s="3" t="str">
        <f>'CSE2'!S64</f>
        <v/>
      </c>
      <c r="T137" s="3" t="str">
        <f>'CSE2'!T64</f>
        <v/>
      </c>
      <c r="U137" s="3" t="str">
        <f>'CSE2'!U64</f>
        <v/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4">
        <v>137.0</v>
      </c>
      <c r="B138" s="3">
        <f>'CSE2'!B65</f>
        <v>160118733311</v>
      </c>
      <c r="C138" s="3" t="str">
        <f>'CSE2'!C65</f>
        <v>Rangamola Mounika</v>
      </c>
      <c r="D138" s="7" t="str">
        <f>'CSE2'!D65</f>
        <v/>
      </c>
      <c r="E138" s="3" t="str">
        <f>'CSE2'!E65</f>
        <v>Mu Sigma</v>
      </c>
      <c r="F138" s="3" t="str">
        <f>'CSE2'!F65</f>
        <v>3.5 LPA</v>
      </c>
      <c r="G138" s="3" t="str">
        <f>'CSE2'!G65</f>
        <v>Gyansys infotech </v>
      </c>
      <c r="H138" s="3" t="str">
        <f>'CSE2'!H65</f>
        <v>4.5 LPA</v>
      </c>
      <c r="I138" s="3" t="str">
        <f>'CSE2'!I65</f>
        <v/>
      </c>
      <c r="J138" s="3" t="str">
        <f>'CSE2'!J65</f>
        <v/>
      </c>
      <c r="K138" s="3" t="str">
        <f>'CSE2'!K65</f>
        <v/>
      </c>
      <c r="L138" s="3" t="str">
        <f>'CSE2'!L65</f>
        <v/>
      </c>
      <c r="M138" s="3" t="str">
        <f>'CSE2'!M65</f>
        <v/>
      </c>
      <c r="N138" s="3" t="str">
        <f>'CSE2'!N65</f>
        <v/>
      </c>
      <c r="O138" s="3" t="str">
        <f>'CSE2'!O65</f>
        <v/>
      </c>
      <c r="P138" s="3" t="str">
        <f>'CSE2'!P65</f>
        <v/>
      </c>
      <c r="Q138" s="3" t="str">
        <f>'CSE2'!Q65</f>
        <v/>
      </c>
      <c r="R138" s="3" t="str">
        <f>'CSE2'!R65</f>
        <v/>
      </c>
      <c r="S138" s="3" t="str">
        <f>'CSE2'!S65</f>
        <v/>
      </c>
      <c r="T138" s="3" t="str">
        <f>'CSE2'!T65</f>
        <v/>
      </c>
      <c r="U138" s="3" t="str">
        <f>'CSE2'!U65</f>
        <v/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4">
        <v>138.0</v>
      </c>
      <c r="B139" s="3">
        <f>'CSE2'!B66</f>
        <v>160118733312</v>
      </c>
      <c r="C139" s="3" t="str">
        <f>'CSE2'!C66</f>
        <v>Sunkara Teja</v>
      </c>
      <c r="D139" s="7" t="str">
        <f>'CSE2'!D66</f>
        <v>YES</v>
      </c>
      <c r="E139" s="3" t="str">
        <f>'CSE2'!E66</f>
        <v>Accenture (Internship)</v>
      </c>
      <c r="F139" s="8" t="str">
        <f>'CSE2'!F66</f>
        <v>16.1K</v>
      </c>
      <c r="G139" s="3" t="str">
        <f>'CSE2'!G66</f>
        <v/>
      </c>
      <c r="H139" s="3" t="str">
        <f>'CSE2'!H66</f>
        <v/>
      </c>
      <c r="I139" s="3" t="str">
        <f>'CSE2'!I66</f>
        <v/>
      </c>
      <c r="J139" s="3" t="str">
        <f>'CSE2'!J66</f>
        <v/>
      </c>
      <c r="K139" s="3" t="str">
        <f>'CSE2'!K66</f>
        <v/>
      </c>
      <c r="L139" s="3" t="str">
        <f>'CSE2'!L66</f>
        <v/>
      </c>
      <c r="M139" s="3" t="str">
        <f>'CSE2'!M66</f>
        <v/>
      </c>
      <c r="N139" s="3" t="str">
        <f>'CSE2'!N66</f>
        <v/>
      </c>
      <c r="O139" s="3" t="str">
        <f>'CSE2'!O66</f>
        <v/>
      </c>
      <c r="P139" s="3" t="str">
        <f>'CSE2'!P66</f>
        <v/>
      </c>
      <c r="Q139" s="3" t="str">
        <f>'CSE2'!Q66</f>
        <v/>
      </c>
      <c r="R139" s="3" t="str">
        <f>'CSE2'!R66</f>
        <v/>
      </c>
      <c r="S139" s="3" t="str">
        <f>'CSE2'!S66</f>
        <v/>
      </c>
      <c r="T139" s="3" t="str">
        <f>'CSE2'!T66</f>
        <v/>
      </c>
      <c r="U139" s="3" t="str">
        <f>'CSE2'!U66</f>
        <v/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4">
        <v>139.0</v>
      </c>
      <c r="B140" s="3">
        <f>'CSE2'!B67</f>
        <v>160116733088</v>
      </c>
      <c r="C140" s="3" t="str">
        <f>'CSE2'!C67</f>
        <v>Deepak Krishna</v>
      </c>
      <c r="D140" s="7" t="str">
        <f>'CSE2'!D67</f>
        <v/>
      </c>
      <c r="E140" s="3" t="str">
        <f>'CSE2'!E67</f>
        <v/>
      </c>
      <c r="F140" s="3" t="str">
        <f>'CSE2'!F67</f>
        <v/>
      </c>
      <c r="G140" s="3" t="str">
        <f>'CSE2'!G67</f>
        <v/>
      </c>
      <c r="H140" s="3" t="str">
        <f>'CSE2'!H67</f>
        <v/>
      </c>
      <c r="I140" s="3" t="str">
        <f>'CSE2'!I67</f>
        <v/>
      </c>
      <c r="J140" s="3" t="str">
        <f>'CSE2'!J67</f>
        <v/>
      </c>
      <c r="K140" s="3" t="str">
        <f>'CSE2'!K67</f>
        <v/>
      </c>
      <c r="L140" s="3" t="str">
        <f>'CSE2'!L67</f>
        <v/>
      </c>
      <c r="M140" s="3" t="str">
        <f>'CSE2'!M67</f>
        <v/>
      </c>
      <c r="N140" s="3" t="str">
        <f>'CSE2'!N67</f>
        <v/>
      </c>
      <c r="O140" s="3" t="str">
        <f>'CSE2'!O67</f>
        <v/>
      </c>
      <c r="P140" s="3" t="str">
        <f>'CSE2'!P67</f>
        <v/>
      </c>
      <c r="Q140" s="3" t="str">
        <f>'CSE2'!Q67</f>
        <v/>
      </c>
      <c r="R140" s="3" t="str">
        <f>'CSE2'!R67</f>
        <v/>
      </c>
      <c r="S140" s="3" t="str">
        <f>'CSE2'!S67</f>
        <v/>
      </c>
      <c r="T140" s="3" t="str">
        <f>'CSE2'!T67</f>
        <v/>
      </c>
      <c r="U140" s="3" t="str">
        <f>'CSE2'!U67</f>
        <v/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4">
        <v>140.0</v>
      </c>
      <c r="B141" s="3">
        <f>'CSE2'!B68</f>
        <v>160117733085</v>
      </c>
      <c r="C141" s="3" t="str">
        <f>'CSE2'!C68</f>
        <v>Nevuri Abhiram Reddy</v>
      </c>
      <c r="D141" s="7" t="str">
        <f>'CSE2'!D68</f>
        <v/>
      </c>
      <c r="E141" s="3" t="str">
        <f>'CSE2'!E68</f>
        <v/>
      </c>
      <c r="F141" s="3" t="str">
        <f>'CSE2'!F68</f>
        <v/>
      </c>
      <c r="G141" s="3" t="str">
        <f>'CSE2'!G68</f>
        <v/>
      </c>
      <c r="H141" s="3" t="str">
        <f>'CSE2'!H68</f>
        <v/>
      </c>
      <c r="I141" s="3" t="str">
        <f>'CSE2'!I68</f>
        <v/>
      </c>
      <c r="J141" s="3" t="str">
        <f>'CSE2'!J68</f>
        <v/>
      </c>
      <c r="K141" s="3" t="str">
        <f>'CSE2'!K68</f>
        <v/>
      </c>
      <c r="L141" s="3" t="str">
        <f>'CSE2'!L68</f>
        <v/>
      </c>
      <c r="M141" s="3" t="str">
        <f>'CSE2'!M68</f>
        <v/>
      </c>
      <c r="N141" s="3" t="str">
        <f>'CSE2'!N68</f>
        <v/>
      </c>
      <c r="O141" s="3" t="str">
        <f>'CSE2'!O68</f>
        <v/>
      </c>
      <c r="P141" s="3" t="str">
        <f>'CSE2'!P68</f>
        <v/>
      </c>
      <c r="Q141" s="3" t="str">
        <f>'CSE2'!Q68</f>
        <v/>
      </c>
      <c r="R141" s="3" t="str">
        <f>'CSE2'!R68</f>
        <v/>
      </c>
      <c r="S141" s="3" t="str">
        <f>'CSE2'!S68</f>
        <v/>
      </c>
      <c r="T141" s="3" t="str">
        <f>'CSE2'!T68</f>
        <v/>
      </c>
      <c r="U141" s="3" t="str">
        <f>'CSE2'!U68</f>
        <v/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4">
        <v>141.0</v>
      </c>
      <c r="B142" s="3">
        <f>'CSE2'!B69</f>
        <v>160117733097</v>
      </c>
      <c r="C142" s="3" t="str">
        <f>'CSE2'!C69</f>
        <v>Mohammed sohail khan</v>
      </c>
      <c r="D142" s="7" t="str">
        <f>'CSE2'!D69</f>
        <v/>
      </c>
      <c r="E142" s="3" t="str">
        <f>'CSE2'!E69</f>
        <v/>
      </c>
      <c r="F142" s="3" t="str">
        <f>'CSE2'!F69</f>
        <v/>
      </c>
      <c r="G142" s="3" t="str">
        <f>'CSE2'!G69</f>
        <v/>
      </c>
      <c r="H142" s="3" t="str">
        <f>'CSE2'!H69</f>
        <v/>
      </c>
      <c r="I142" s="3" t="str">
        <f>'CSE2'!I69</f>
        <v/>
      </c>
      <c r="J142" s="3" t="str">
        <f>'CSE2'!J69</f>
        <v/>
      </c>
      <c r="K142" s="3" t="str">
        <f>'CSE2'!K69</f>
        <v/>
      </c>
      <c r="L142" s="3" t="str">
        <f>'CSE2'!L69</f>
        <v/>
      </c>
      <c r="M142" s="3" t="str">
        <f>'CSE2'!M69</f>
        <v/>
      </c>
      <c r="N142" s="3" t="str">
        <f>'CSE2'!N69</f>
        <v/>
      </c>
      <c r="O142" s="3" t="str">
        <f>'CSE2'!O69</f>
        <v/>
      </c>
      <c r="P142" s="3" t="str">
        <f>'CSE2'!P69</f>
        <v/>
      </c>
      <c r="Q142" s="3" t="str">
        <f>'CSE2'!Q69</f>
        <v/>
      </c>
      <c r="R142" s="3" t="str">
        <f>'CSE2'!R69</f>
        <v/>
      </c>
      <c r="S142" s="3" t="str">
        <f>'CSE2'!S69</f>
        <v/>
      </c>
      <c r="T142" s="3" t="str">
        <f>'CSE2'!T69</f>
        <v/>
      </c>
      <c r="U142" s="3" t="str">
        <f>'CSE2'!U69</f>
        <v/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4">
        <v>142.0</v>
      </c>
      <c r="B143" s="3">
        <f>'CSE2'!B70</f>
        <v>160117733113</v>
      </c>
      <c r="C143" s="3" t="str">
        <f>'CSE2'!C70</f>
        <v>Yeddula Sivaprasad Reddy</v>
      </c>
      <c r="D143" s="7" t="str">
        <f>'CSE2'!D70</f>
        <v/>
      </c>
      <c r="E143" s="3" t="str">
        <f>'CSE2'!E70</f>
        <v/>
      </c>
      <c r="F143" s="3" t="str">
        <f>'CSE2'!F70</f>
        <v/>
      </c>
      <c r="G143" s="3" t="str">
        <f>'CSE2'!G70</f>
        <v/>
      </c>
      <c r="H143" s="3" t="str">
        <f>'CSE2'!H70</f>
        <v/>
      </c>
      <c r="I143" s="3" t="str">
        <f>'CSE2'!I70</f>
        <v/>
      </c>
      <c r="J143" s="3" t="str">
        <f>'CSE2'!J70</f>
        <v/>
      </c>
      <c r="K143" s="3" t="str">
        <f>'CSE2'!K70</f>
        <v/>
      </c>
      <c r="L143" s="3" t="str">
        <f>'CSE2'!L70</f>
        <v/>
      </c>
      <c r="M143" s="3" t="str">
        <f>'CSE2'!M70</f>
        <v/>
      </c>
      <c r="N143" s="3" t="str">
        <f>'CSE2'!N70</f>
        <v/>
      </c>
      <c r="O143" s="3" t="str">
        <f>'CSE2'!O70</f>
        <v/>
      </c>
      <c r="P143" s="3" t="str">
        <f>'CSE2'!P70</f>
        <v/>
      </c>
      <c r="Q143" s="3" t="str">
        <f>'CSE2'!Q70</f>
        <v/>
      </c>
      <c r="R143" s="3" t="str">
        <f>'CSE2'!R70</f>
        <v/>
      </c>
      <c r="S143" s="3" t="str">
        <f>'CSE2'!S70</f>
        <v/>
      </c>
      <c r="T143" s="3" t="str">
        <f>'CSE2'!T70</f>
        <v/>
      </c>
      <c r="U143" s="3" t="str">
        <f>'CSE2'!U70</f>
        <v/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4">
        <v>143.0</v>
      </c>
      <c r="B144" s="3">
        <f>'CSE2'!B71</f>
        <v>160117733321</v>
      </c>
      <c r="C144" s="3" t="str">
        <f>'CSE2'!C71</f>
        <v>Adulla Rakesh Kumar</v>
      </c>
      <c r="D144" s="7" t="str">
        <f>'CSE2'!D71</f>
        <v/>
      </c>
      <c r="E144" s="3" t="str">
        <f>'CSE2'!E71</f>
        <v/>
      </c>
      <c r="F144" s="3" t="str">
        <f>'CSE2'!F71</f>
        <v/>
      </c>
      <c r="G144" s="3" t="str">
        <f>'CSE2'!G71</f>
        <v/>
      </c>
      <c r="H144" s="3" t="str">
        <f>'CSE2'!H71</f>
        <v/>
      </c>
      <c r="I144" s="3" t="str">
        <f>'CSE2'!I71</f>
        <v/>
      </c>
      <c r="J144" s="3" t="str">
        <f>'CSE2'!J71</f>
        <v/>
      </c>
      <c r="K144" s="3" t="str">
        <f>'CSE2'!K71</f>
        <v/>
      </c>
      <c r="L144" s="3" t="str">
        <f>'CSE2'!L71</f>
        <v/>
      </c>
      <c r="M144" s="3" t="str">
        <f>'CSE2'!M71</f>
        <v/>
      </c>
      <c r="N144" s="3" t="str">
        <f>'CSE2'!N71</f>
        <v/>
      </c>
      <c r="O144" s="3" t="str">
        <f>'CSE2'!O71</f>
        <v/>
      </c>
      <c r="P144" s="3" t="str">
        <f>'CSE2'!P71</f>
        <v/>
      </c>
      <c r="Q144" s="3" t="str">
        <f>'CSE2'!Q71</f>
        <v/>
      </c>
      <c r="R144" s="3" t="str">
        <f>'CSE2'!R71</f>
        <v/>
      </c>
      <c r="S144" s="3" t="str">
        <f>'CSE2'!S71</f>
        <v/>
      </c>
      <c r="T144" s="3" t="str">
        <f>'CSE2'!T71</f>
        <v/>
      </c>
      <c r="U144" s="3" t="str">
        <f>'CSE2'!U71</f>
        <v/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4">
        <v>144.0</v>
      </c>
      <c r="B145" s="3">
        <f>'CSE3'!B2</f>
        <v>160118733121</v>
      </c>
      <c r="C145" s="3" t="str">
        <f>'CSE3'!C2</f>
        <v>Aishwarya Jaini</v>
      </c>
      <c r="D145" s="7" t="str">
        <f>'CSE3'!D2</f>
        <v>YES</v>
      </c>
      <c r="E145" s="3" t="str">
        <f>'CSE3'!E2</f>
        <v>JPMC </v>
      </c>
      <c r="F145" s="3" t="str">
        <f>'CSE3'!F2</f>
        <v>14 LPA</v>
      </c>
      <c r="G145" s="3" t="str">
        <f>'CSE3'!G2</f>
        <v/>
      </c>
      <c r="H145" s="9" t="str">
        <f>'CSE3'!H2</f>
        <v/>
      </c>
      <c r="I145" s="3" t="str">
        <f>'CSE3'!I2</f>
        <v/>
      </c>
      <c r="J145" s="3" t="str">
        <f>'CSE3'!J2</f>
        <v/>
      </c>
      <c r="K145" s="3" t="str">
        <f>'CSE3'!K2</f>
        <v/>
      </c>
      <c r="L145" s="3" t="str">
        <f>'CSE3'!L2</f>
        <v/>
      </c>
      <c r="M145" s="3" t="str">
        <f>'CSE3'!M2</f>
        <v/>
      </c>
      <c r="N145" s="3" t="str">
        <f>'CSE3'!N2</f>
        <v/>
      </c>
      <c r="O145" s="3" t="str">
        <f>'CSE3'!O2</f>
        <v/>
      </c>
      <c r="P145" s="3" t="str">
        <f>'CSE3'!P2</f>
        <v/>
      </c>
      <c r="Q145" s="3" t="str">
        <f>'CSE3'!Q2</f>
        <v/>
      </c>
      <c r="R145" s="3" t="str">
        <f>'CSE3'!R2</f>
        <v/>
      </c>
      <c r="S145" s="3" t="str">
        <f>'CSE3'!S2</f>
        <v/>
      </c>
      <c r="T145" s="3" t="str">
        <f>'CSE3'!T2</f>
        <v/>
      </c>
      <c r="U145" s="3" t="str">
        <f>'CSE3'!U2</f>
        <v/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4">
        <v>145.0</v>
      </c>
      <c r="B146" s="3">
        <f>'CSE3'!B3</f>
        <v>160118733122</v>
      </c>
      <c r="C146" s="3" t="str">
        <f>'CSE3'!C3</f>
        <v>Aishwarya Mamidi</v>
      </c>
      <c r="D146" s="7" t="str">
        <f>'CSE3'!D3</f>
        <v>YES</v>
      </c>
      <c r="E146" s="3" t="str">
        <f>'CSE3'!E3</f>
        <v>JPMC (PPO)</v>
      </c>
      <c r="F146" s="3" t="str">
        <f>'CSE3'!F3</f>
        <v>14 LPA</v>
      </c>
      <c r="G146" s="3" t="str">
        <f>'CSE3'!G3</f>
        <v>Infosys (SE)</v>
      </c>
      <c r="H146" s="3" t="str">
        <f>'CSE3'!H3</f>
        <v>3.6 LPA</v>
      </c>
      <c r="I146" s="3" t="str">
        <f>'CSE3'!I3</f>
        <v/>
      </c>
      <c r="J146" s="3" t="str">
        <f>'CSE3'!J3</f>
        <v/>
      </c>
      <c r="K146" s="3" t="str">
        <f>'CSE3'!K3</f>
        <v/>
      </c>
      <c r="L146" s="3" t="str">
        <f>'CSE3'!L3</f>
        <v/>
      </c>
      <c r="M146" s="3" t="str">
        <f>'CSE3'!M3</f>
        <v/>
      </c>
      <c r="N146" s="3" t="str">
        <f>'CSE3'!N3</f>
        <v/>
      </c>
      <c r="O146" s="3" t="str">
        <f>'CSE3'!O3</f>
        <v/>
      </c>
      <c r="P146" s="3" t="str">
        <f>'CSE3'!P3</f>
        <v/>
      </c>
      <c r="Q146" s="3" t="str">
        <f>'CSE3'!Q3</f>
        <v/>
      </c>
      <c r="R146" s="3" t="str">
        <f>'CSE3'!R3</f>
        <v/>
      </c>
      <c r="S146" s="3" t="str">
        <f>'CSE3'!S3</f>
        <v/>
      </c>
      <c r="T146" s="3" t="str">
        <f>'CSE3'!T3</f>
        <v/>
      </c>
      <c r="U146" s="3" t="str">
        <f>'CSE3'!U3</f>
        <v/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4">
        <v>146.0</v>
      </c>
      <c r="B147" s="3">
        <f>'CSE3'!B4</f>
        <v>160118733123</v>
      </c>
      <c r="C147" s="3" t="str">
        <f>'CSE3'!C4</f>
        <v>Amulya Usem</v>
      </c>
      <c r="D147" s="7" t="str">
        <f>'CSE3'!D4</f>
        <v>YES</v>
      </c>
      <c r="E147" s="3" t="str">
        <f>'CSE3'!E4</f>
        <v>JPMC (PPO)</v>
      </c>
      <c r="F147" s="3" t="str">
        <f>'CSE3'!F4</f>
        <v>14 LPA</v>
      </c>
      <c r="G147" s="3" t="str">
        <f>'CSE3'!G4</f>
        <v/>
      </c>
      <c r="H147" s="3" t="str">
        <f>'CSE3'!H4</f>
        <v/>
      </c>
      <c r="I147" s="3" t="str">
        <f>'CSE3'!I4</f>
        <v/>
      </c>
      <c r="J147" s="3" t="str">
        <f>'CSE3'!J4</f>
        <v/>
      </c>
      <c r="K147" s="3" t="str">
        <f>'CSE3'!K4</f>
        <v/>
      </c>
      <c r="L147" s="3" t="str">
        <f>'CSE3'!L4</f>
        <v/>
      </c>
      <c r="M147" s="3" t="str">
        <f>'CSE3'!M4</f>
        <v/>
      </c>
      <c r="N147" s="3" t="str">
        <f>'CSE3'!N4</f>
        <v/>
      </c>
      <c r="O147" s="3" t="str">
        <f>'CSE3'!O4</f>
        <v/>
      </c>
      <c r="P147" s="3" t="str">
        <f>'CSE3'!P4</f>
        <v/>
      </c>
      <c r="Q147" s="3" t="str">
        <f>'CSE3'!Q4</f>
        <v/>
      </c>
      <c r="R147" s="3" t="str">
        <f>'CSE3'!R4</f>
        <v/>
      </c>
      <c r="S147" s="3" t="str">
        <f>'CSE3'!S4</f>
        <v/>
      </c>
      <c r="T147" s="3" t="str">
        <f>'CSE3'!T4</f>
        <v/>
      </c>
      <c r="U147" s="3" t="str">
        <f>'CSE3'!U4</f>
        <v/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4">
        <v>147.0</v>
      </c>
      <c r="B148" s="3">
        <f>'CSE3'!B5</f>
        <v>160118733124</v>
      </c>
      <c r="C148" s="3" t="str">
        <f>'CSE3'!C5</f>
        <v>Anna Florence Veluvali</v>
      </c>
      <c r="D148" s="7" t="str">
        <f>'CSE3'!D5</f>
        <v/>
      </c>
      <c r="E148" s="3" t="str">
        <f>'CSE3'!E5</f>
        <v/>
      </c>
      <c r="F148" s="3" t="str">
        <f>'CSE3'!F5</f>
        <v/>
      </c>
      <c r="G148" s="3" t="str">
        <f>'CSE3'!G5</f>
        <v/>
      </c>
      <c r="H148" s="3" t="str">
        <f>'CSE3'!H5</f>
        <v/>
      </c>
      <c r="I148" s="3" t="str">
        <f>'CSE3'!I5</f>
        <v/>
      </c>
      <c r="J148" s="3" t="str">
        <f>'CSE3'!J5</f>
        <v/>
      </c>
      <c r="K148" s="3" t="str">
        <f>'CSE3'!K5</f>
        <v/>
      </c>
      <c r="L148" s="3" t="str">
        <f>'CSE3'!L5</f>
        <v/>
      </c>
      <c r="M148" s="3" t="str">
        <f>'CSE3'!M5</f>
        <v/>
      </c>
      <c r="N148" s="3" t="str">
        <f>'CSE3'!N5</f>
        <v/>
      </c>
      <c r="O148" s="3" t="str">
        <f>'CSE3'!O5</f>
        <v/>
      </c>
      <c r="P148" s="3" t="str">
        <f>'CSE3'!P5</f>
        <v/>
      </c>
      <c r="Q148" s="3" t="str">
        <f>'CSE3'!Q5</f>
        <v/>
      </c>
      <c r="R148" s="3" t="str">
        <f>'CSE3'!R5</f>
        <v/>
      </c>
      <c r="S148" s="3" t="str">
        <f>'CSE3'!S5</f>
        <v/>
      </c>
      <c r="T148" s="3" t="str">
        <f>'CSE3'!T5</f>
        <v/>
      </c>
      <c r="U148" s="3" t="str">
        <f>'CSE3'!U5</f>
        <v/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4">
        <v>148.0</v>
      </c>
      <c r="B149" s="3">
        <f>'CSE3'!B6</f>
        <v>160118733125</v>
      </c>
      <c r="C149" s="3" t="str">
        <f>'CSE3'!C6</f>
        <v>Venna Ashwitha Reddy</v>
      </c>
      <c r="D149" s="7" t="str">
        <f>'CSE3'!D6</f>
        <v>YES</v>
      </c>
      <c r="E149" s="3" t="str">
        <f>'CSE3'!E6</f>
        <v>Cognizant GenC</v>
      </c>
      <c r="F149" s="3" t="str">
        <f>'CSE3'!F6</f>
        <v>4 LPA</v>
      </c>
      <c r="G149" s="3" t="str">
        <f>'CSE3'!G6</f>
        <v>DBS</v>
      </c>
      <c r="H149" s="3" t="str">
        <f>'CSE3'!H6</f>
        <v>8.5 LPA</v>
      </c>
      <c r="I149" s="3" t="str">
        <f>'CSE3'!I6</f>
        <v/>
      </c>
      <c r="J149" s="3" t="str">
        <f>'CSE3'!J6</f>
        <v/>
      </c>
      <c r="K149" s="3" t="str">
        <f>'CSE3'!K6</f>
        <v/>
      </c>
      <c r="L149" s="3" t="str">
        <f>'CSE3'!L6</f>
        <v/>
      </c>
      <c r="M149" s="3" t="str">
        <f>'CSE3'!M6</f>
        <v/>
      </c>
      <c r="N149" s="3" t="str">
        <f>'CSE3'!N6</f>
        <v/>
      </c>
      <c r="O149" s="3" t="str">
        <f>'CSE3'!O6</f>
        <v/>
      </c>
      <c r="P149" s="3" t="str">
        <f>'CSE3'!P6</f>
        <v/>
      </c>
      <c r="Q149" s="3" t="str">
        <f>'CSE3'!Q6</f>
        <v/>
      </c>
      <c r="R149" s="3" t="str">
        <f>'CSE3'!R6</f>
        <v/>
      </c>
      <c r="S149" s="3" t="str">
        <f>'CSE3'!S6</f>
        <v/>
      </c>
      <c r="T149" s="3" t="str">
        <f>'CSE3'!T6</f>
        <v/>
      </c>
      <c r="U149" s="3" t="str">
        <f>'CSE3'!U6</f>
        <v/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4">
        <v>149.0</v>
      </c>
      <c r="B150" s="3">
        <f>'CSE3'!B7</f>
        <v>160118733126</v>
      </c>
      <c r="C150" s="3" t="str">
        <f>'CSE3'!C7</f>
        <v>Chandana Kalapally</v>
      </c>
      <c r="D150" s="7" t="str">
        <f>'CSE3'!D7</f>
        <v>YES</v>
      </c>
      <c r="E150" s="3" t="str">
        <f>'CSE3'!E7</f>
        <v>JPMC </v>
      </c>
      <c r="F150" s="3" t="str">
        <f>'CSE3'!F7</f>
        <v>14 LPA</v>
      </c>
      <c r="G150" s="3" t="str">
        <f>'CSE3'!G7</f>
        <v>Amazon SDE (Internship)</v>
      </c>
      <c r="H150" s="3" t="str">
        <f>'CSE3'!H7</f>
        <v>80k</v>
      </c>
      <c r="I150" s="3" t="str">
        <f>'CSE3'!I7</f>
        <v>F5 Inc</v>
      </c>
      <c r="J150" s="3" t="str">
        <f>'CSE3'!J7</f>
        <v>23 LPA</v>
      </c>
      <c r="K150" s="3" t="str">
        <f>'CSE3'!K7</f>
        <v/>
      </c>
      <c r="L150" s="3" t="str">
        <f>'CSE3'!L7</f>
        <v/>
      </c>
      <c r="M150" s="3" t="str">
        <f>'CSE3'!M7</f>
        <v/>
      </c>
      <c r="N150" s="3" t="str">
        <f>'CSE3'!N7</f>
        <v/>
      </c>
      <c r="O150" s="3" t="str">
        <f>'CSE3'!O7</f>
        <v/>
      </c>
      <c r="P150" s="3" t="str">
        <f>'CSE3'!P7</f>
        <v/>
      </c>
      <c r="Q150" s="3" t="str">
        <f>'CSE3'!Q7</f>
        <v/>
      </c>
      <c r="R150" s="3" t="str">
        <f>'CSE3'!R7</f>
        <v/>
      </c>
      <c r="S150" s="3" t="str">
        <f>'CSE3'!S7</f>
        <v/>
      </c>
      <c r="T150" s="3" t="str">
        <f>'CSE3'!T7</f>
        <v/>
      </c>
      <c r="U150" s="3" t="str">
        <f>'CSE3'!U7</f>
        <v/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4">
        <v>150.0</v>
      </c>
      <c r="B151" s="3">
        <f>'CSE3'!B8</f>
        <v>160118733127</v>
      </c>
      <c r="C151" s="3" t="str">
        <f>'CSE3'!C8</f>
        <v>Neelagiri. Dharani</v>
      </c>
      <c r="D151" s="7" t="str">
        <f>'CSE3'!D8</f>
        <v>YES</v>
      </c>
      <c r="E151" s="3" t="str">
        <f>'CSE3'!E8</f>
        <v>Infosys (SE)</v>
      </c>
      <c r="F151" s="3" t="str">
        <f>'CSE3'!F8</f>
        <v>3.6 LPA</v>
      </c>
      <c r="G151" s="3" t="str">
        <f>'CSE3'!G8</f>
        <v>PwC Acceleration Center</v>
      </c>
      <c r="H151" s="3" t="str">
        <f>'CSE3'!H8</f>
        <v>6 LPA</v>
      </c>
      <c r="I151" s="3" t="str">
        <f>'CSE3'!I8</f>
        <v/>
      </c>
      <c r="J151" s="3" t="str">
        <f>'CSE3'!J8</f>
        <v/>
      </c>
      <c r="K151" s="3" t="str">
        <f>'CSE3'!K8</f>
        <v/>
      </c>
      <c r="L151" s="3" t="str">
        <f>'CSE3'!L8</f>
        <v/>
      </c>
      <c r="M151" s="3" t="str">
        <f>'CSE3'!M8</f>
        <v/>
      </c>
      <c r="N151" s="3" t="str">
        <f>'CSE3'!N8</f>
        <v/>
      </c>
      <c r="O151" s="3" t="str">
        <f>'CSE3'!O8</f>
        <v/>
      </c>
      <c r="P151" s="3" t="str">
        <f>'CSE3'!P8</f>
        <v/>
      </c>
      <c r="Q151" s="3" t="str">
        <f>'CSE3'!Q8</f>
        <v/>
      </c>
      <c r="R151" s="3" t="str">
        <f>'CSE3'!R8</f>
        <v/>
      </c>
      <c r="S151" s="3" t="str">
        <f>'CSE3'!S8</f>
        <v/>
      </c>
      <c r="T151" s="3" t="str">
        <f>'CSE3'!T8</f>
        <v/>
      </c>
      <c r="U151" s="3" t="str">
        <f>'CSE3'!U8</f>
        <v/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4">
        <v>151.0</v>
      </c>
      <c r="B152" s="3">
        <f>'CSE3'!B9</f>
        <v>160118733128</v>
      </c>
      <c r="C152" s="3" t="str">
        <f>'CSE3'!C9</f>
        <v>Jahnavi Garaga</v>
      </c>
      <c r="D152" s="7" t="str">
        <f>'CSE3'!D9</f>
        <v>YES</v>
      </c>
      <c r="E152" s="3" t="str">
        <f>'CSE3'!E9</f>
        <v>Accelerize 360</v>
      </c>
      <c r="F152" s="3" t="str">
        <f>'CSE3'!F9</f>
        <v>7 LPA</v>
      </c>
      <c r="G152" s="3" t="str">
        <f>'CSE3'!G9</f>
        <v>Infosys (DSE)</v>
      </c>
      <c r="H152" s="3" t="str">
        <f>'CSE3'!H9</f>
        <v>6.25 LPA</v>
      </c>
      <c r="I152" s="3" t="str">
        <f>'CSE3'!I9</f>
        <v>Advance Auto Parts</v>
      </c>
      <c r="J152" s="3" t="str">
        <f>'CSE3'!J9</f>
        <v>9 LPA</v>
      </c>
      <c r="K152" s="3" t="str">
        <f>'CSE3'!K9</f>
        <v/>
      </c>
      <c r="L152" s="3" t="str">
        <f>'CSE3'!L9</f>
        <v/>
      </c>
      <c r="M152" s="3" t="str">
        <f>'CSE3'!M9</f>
        <v/>
      </c>
      <c r="N152" s="3" t="str">
        <f>'CSE3'!N9</f>
        <v/>
      </c>
      <c r="O152" s="3" t="str">
        <f>'CSE3'!O9</f>
        <v/>
      </c>
      <c r="P152" s="3" t="str">
        <f>'CSE3'!P9</f>
        <v/>
      </c>
      <c r="Q152" s="3" t="str">
        <f>'CSE3'!Q9</f>
        <v/>
      </c>
      <c r="R152" s="3" t="str">
        <f>'CSE3'!R9</f>
        <v/>
      </c>
      <c r="S152" s="3" t="str">
        <f>'CSE3'!S9</f>
        <v/>
      </c>
      <c r="T152" s="3" t="str">
        <f>'CSE3'!T9</f>
        <v/>
      </c>
      <c r="U152" s="3" t="str">
        <f>'CSE3'!U9</f>
        <v/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4">
        <v>152.0</v>
      </c>
      <c r="B153" s="3">
        <f>'CSE3'!B10</f>
        <v>160118733129</v>
      </c>
      <c r="C153" s="3" t="str">
        <f>'CSE3'!C10</f>
        <v>Koneti Jaya Sriharshita</v>
      </c>
      <c r="D153" s="7" t="str">
        <f>'CSE3'!D10</f>
        <v>YES</v>
      </c>
      <c r="E153" s="3" t="str">
        <f>'CSE3'!E10</f>
        <v>JPMC </v>
      </c>
      <c r="F153" s="3" t="str">
        <f>'CSE3'!F10</f>
        <v>14 LPA</v>
      </c>
      <c r="G153" s="3" t="str">
        <f>'CSE3'!G10</f>
        <v/>
      </c>
      <c r="H153" s="3" t="str">
        <f>'CSE3'!H10</f>
        <v/>
      </c>
      <c r="I153" s="3" t="str">
        <f>'CSE3'!I10</f>
        <v/>
      </c>
      <c r="J153" s="3" t="str">
        <f>'CSE3'!J10</f>
        <v/>
      </c>
      <c r="K153" s="3" t="str">
        <f>'CSE3'!K10</f>
        <v/>
      </c>
      <c r="L153" s="3" t="str">
        <f>'CSE3'!L10</f>
        <v/>
      </c>
      <c r="M153" s="3" t="str">
        <f>'CSE3'!M10</f>
        <v/>
      </c>
      <c r="N153" s="3" t="str">
        <f>'CSE3'!N10</f>
        <v/>
      </c>
      <c r="O153" s="3" t="str">
        <f>'CSE3'!O10</f>
        <v/>
      </c>
      <c r="P153" s="3" t="str">
        <f>'CSE3'!P10</f>
        <v/>
      </c>
      <c r="Q153" s="3" t="str">
        <f>'CSE3'!Q10</f>
        <v/>
      </c>
      <c r="R153" s="3" t="str">
        <f>'CSE3'!R10</f>
        <v/>
      </c>
      <c r="S153" s="3" t="str">
        <f>'CSE3'!S10</f>
        <v/>
      </c>
      <c r="T153" s="3" t="str">
        <f>'CSE3'!T10</f>
        <v/>
      </c>
      <c r="U153" s="3" t="str">
        <f>'CSE3'!U10</f>
        <v/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4">
        <v>153.0</v>
      </c>
      <c r="B154" s="3">
        <f>'CSE3'!B11</f>
        <v>160118733130</v>
      </c>
      <c r="C154" s="3" t="str">
        <f>'CSE3'!C11</f>
        <v>Kandi Jyoshna</v>
      </c>
      <c r="D154" s="7" t="str">
        <f>'CSE3'!D11</f>
        <v>YES</v>
      </c>
      <c r="E154" s="3" t="str">
        <f>'CSE3'!E11</f>
        <v>Accolite</v>
      </c>
      <c r="F154" s="3" t="str">
        <f>'CSE3'!F11</f>
        <v>8 LPA</v>
      </c>
      <c r="G154" s="3" t="str">
        <f>'CSE3'!G11</f>
        <v>Barclays</v>
      </c>
      <c r="H154" s="3" t="str">
        <f>'CSE3'!H11</f>
        <v>12.73 LPA</v>
      </c>
      <c r="I154" s="3" t="str">
        <f>'CSE3'!I11</f>
        <v>Frugal Testing</v>
      </c>
      <c r="J154" s="3" t="str">
        <f>'CSE3'!J11</f>
        <v>5 LPA</v>
      </c>
      <c r="K154" s="3" t="str">
        <f>'CSE3'!K11</f>
        <v>Infosys (SE)</v>
      </c>
      <c r="L154" s="3" t="str">
        <f>'CSE3'!L11</f>
        <v>3.6 LPA</v>
      </c>
      <c r="M154" s="3" t="str">
        <f>'CSE3'!M11</f>
        <v>Amazon SDE (Internship)</v>
      </c>
      <c r="N154" s="3" t="str">
        <f>'CSE3'!N11</f>
        <v>80k</v>
      </c>
      <c r="O154" s="3" t="str">
        <f>'CSE3'!O11</f>
        <v>F5 Inc</v>
      </c>
      <c r="P154" s="3" t="str">
        <f>'CSE3'!P11</f>
        <v>23 LPA</v>
      </c>
      <c r="Q154" s="3" t="str">
        <f>'CSE3'!Q11</f>
        <v/>
      </c>
      <c r="R154" s="3" t="str">
        <f>'CSE3'!R11</f>
        <v/>
      </c>
      <c r="S154" s="3" t="str">
        <f>'CSE3'!S11</f>
        <v/>
      </c>
      <c r="T154" s="3" t="str">
        <f>'CSE3'!T11</f>
        <v/>
      </c>
      <c r="U154" s="3" t="str">
        <f>'CSE3'!U11</f>
        <v/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4">
        <v>154.0</v>
      </c>
      <c r="B155" s="3">
        <f>'CSE3'!B12</f>
        <v>160118733131</v>
      </c>
      <c r="C155" s="3" t="str">
        <f>'CSE3'!C12</f>
        <v>Lahari Madishetty</v>
      </c>
      <c r="D155" s="7" t="str">
        <f>'CSE3'!D12</f>
        <v/>
      </c>
      <c r="E155" s="3" t="str">
        <f>'CSE3'!E12</f>
        <v>Barclays</v>
      </c>
      <c r="F155" s="3" t="str">
        <f>'CSE3'!F12</f>
        <v>12.73 LPA</v>
      </c>
      <c r="G155" s="3" t="str">
        <f>'CSE3'!G12</f>
        <v>Accenture (ASE)</v>
      </c>
      <c r="H155" s="3" t="str">
        <f>'CSE3'!H12</f>
        <v>4.5 LPA</v>
      </c>
      <c r="I155" s="3" t="str">
        <f>'CSE3'!I12</f>
        <v/>
      </c>
      <c r="J155" s="3" t="str">
        <f>'CSE3'!J12</f>
        <v/>
      </c>
      <c r="K155" s="3" t="str">
        <f>'CSE3'!K12</f>
        <v/>
      </c>
      <c r="L155" s="3" t="str">
        <f>'CSE3'!L12</f>
        <v/>
      </c>
      <c r="M155" s="3" t="str">
        <f>'CSE3'!M12</f>
        <v/>
      </c>
      <c r="N155" s="3" t="str">
        <f>'CSE3'!N12</f>
        <v/>
      </c>
      <c r="O155" s="3" t="str">
        <f>'CSE3'!O12</f>
        <v/>
      </c>
      <c r="P155" s="3" t="str">
        <f>'CSE3'!P12</f>
        <v/>
      </c>
      <c r="Q155" s="3" t="str">
        <f>'CSE3'!Q12</f>
        <v/>
      </c>
      <c r="R155" s="3" t="str">
        <f>'CSE3'!R12</f>
        <v/>
      </c>
      <c r="S155" s="3" t="str">
        <f>'CSE3'!S12</f>
        <v/>
      </c>
      <c r="T155" s="3" t="str">
        <f>'CSE3'!T12</f>
        <v/>
      </c>
      <c r="U155" s="3" t="str">
        <f>'CSE3'!U12</f>
        <v/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4">
        <v>155.0</v>
      </c>
      <c r="B156" s="3">
        <f>'CSE3'!B13</f>
        <v>160118733132</v>
      </c>
      <c r="C156" s="3" t="str">
        <f>'CSE3'!C13</f>
        <v>Likitha dareddy</v>
      </c>
      <c r="D156" s="7" t="str">
        <f>'CSE3'!D13</f>
        <v>YES</v>
      </c>
      <c r="E156" s="3" t="str">
        <f>'CSE3'!E13</f>
        <v>Wipro</v>
      </c>
      <c r="F156" s="3" t="str">
        <f>'CSE3'!F13</f>
        <v>3.5 LPA</v>
      </c>
      <c r="G156" s="3" t="str">
        <f>'CSE3'!G13</f>
        <v>MuSigma</v>
      </c>
      <c r="H156" s="3" t="str">
        <f>'CSE3'!H13</f>
        <v>7.5 LPA</v>
      </c>
      <c r="I156" s="3" t="str">
        <f>'CSE3'!I13</f>
        <v>Accenture (internship)</v>
      </c>
      <c r="J156" s="3" t="str">
        <f>'CSE3'!J13</f>
        <v>10k</v>
      </c>
      <c r="K156" s="3" t="str">
        <f>'CSE3'!K13</f>
        <v/>
      </c>
      <c r="L156" s="3" t="str">
        <f>'CSE3'!L13</f>
        <v/>
      </c>
      <c r="M156" s="3" t="str">
        <f>'CSE3'!M13</f>
        <v/>
      </c>
      <c r="N156" s="3" t="str">
        <f>'CSE3'!N13</f>
        <v/>
      </c>
      <c r="O156" s="3" t="str">
        <f>'CSE3'!O13</f>
        <v/>
      </c>
      <c r="P156" s="3" t="str">
        <f>'CSE3'!P13</f>
        <v/>
      </c>
      <c r="Q156" s="3" t="str">
        <f>'CSE3'!Q13</f>
        <v/>
      </c>
      <c r="R156" s="3" t="str">
        <f>'CSE3'!R13</f>
        <v/>
      </c>
      <c r="S156" s="3" t="str">
        <f>'CSE3'!S13</f>
        <v/>
      </c>
      <c r="T156" s="3" t="str">
        <f>'CSE3'!T13</f>
        <v/>
      </c>
      <c r="U156" s="3" t="str">
        <f>'CSE3'!U13</f>
        <v/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4">
        <v>156.0</v>
      </c>
      <c r="B157" s="3">
        <f>'CSE3'!B14</f>
        <v>160118733133</v>
      </c>
      <c r="C157" s="3" t="str">
        <f>'CSE3'!C14</f>
        <v>Madhuri Reddy Ravula</v>
      </c>
      <c r="D157" s="7" t="str">
        <f>'CSE3'!D14</f>
        <v>YES</v>
      </c>
      <c r="E157" s="3" t="str">
        <f>'CSE3'!E14</f>
        <v>Micron (EPS)</v>
      </c>
      <c r="F157" s="3" t="str">
        <f>'CSE3'!F14</f>
        <v>8.1 LPA</v>
      </c>
      <c r="G157" s="3" t="str">
        <f>'CSE3'!G14</f>
        <v>Amazon DE (Internship)</v>
      </c>
      <c r="H157" s="3" t="str">
        <f>'CSE3'!H14</f>
        <v>80k</v>
      </c>
      <c r="I157" s="3" t="str">
        <f>'CSE3'!I14</f>
        <v>Head Digital Works</v>
      </c>
      <c r="J157" s="3" t="str">
        <f>'CSE3'!J14</f>
        <v>12 LPA</v>
      </c>
      <c r="K157" s="3" t="str">
        <f>'CSE3'!K14</f>
        <v/>
      </c>
      <c r="L157" s="3" t="str">
        <f>'CSE3'!L14</f>
        <v/>
      </c>
      <c r="M157" s="3" t="str">
        <f>'CSE3'!M14</f>
        <v/>
      </c>
      <c r="N157" s="3" t="str">
        <f>'CSE3'!N14</f>
        <v/>
      </c>
      <c r="O157" s="3" t="str">
        <f>'CSE3'!O14</f>
        <v/>
      </c>
      <c r="P157" s="3" t="str">
        <f>'CSE3'!P14</f>
        <v/>
      </c>
      <c r="Q157" s="3" t="str">
        <f>'CSE3'!Q14</f>
        <v/>
      </c>
      <c r="R157" s="3" t="str">
        <f>'CSE3'!R14</f>
        <v/>
      </c>
      <c r="S157" s="3" t="str">
        <f>'CSE3'!S14</f>
        <v/>
      </c>
      <c r="T157" s="3" t="str">
        <f>'CSE3'!T14</f>
        <v/>
      </c>
      <c r="U157" s="3" t="str">
        <f>'CSE3'!U14</f>
        <v/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4">
        <v>157.0</v>
      </c>
      <c r="B158" s="3">
        <f>'CSE3'!B15</f>
        <v>160118733134</v>
      </c>
      <c r="C158" s="3" t="str">
        <f>'CSE3'!C15</f>
        <v>Reecha Pulichintha</v>
      </c>
      <c r="D158" s="7" t="str">
        <f>'CSE3'!D15</f>
        <v>YES</v>
      </c>
      <c r="E158" s="3" t="str">
        <f>'CSE3'!E15</f>
        <v>Accolite</v>
      </c>
      <c r="F158" s="3" t="str">
        <f>'CSE3'!F15</f>
        <v>8 LPA</v>
      </c>
      <c r="G158" s="3" t="str">
        <f>'CSE3'!G15</f>
        <v>MTX</v>
      </c>
      <c r="H158" s="3" t="str">
        <f>'CSE3'!H15</f>
        <v>10.4 LPA</v>
      </c>
      <c r="I158" s="3" t="str">
        <f>'CSE3'!I15</f>
        <v/>
      </c>
      <c r="J158" s="3" t="str">
        <f>'CSE3'!J15</f>
        <v/>
      </c>
      <c r="K158" s="3" t="str">
        <f>'CSE3'!K15</f>
        <v/>
      </c>
      <c r="L158" s="3" t="str">
        <f>'CSE3'!L15</f>
        <v/>
      </c>
      <c r="M158" s="3" t="str">
        <f>'CSE3'!M15</f>
        <v/>
      </c>
      <c r="N158" s="3" t="str">
        <f>'CSE3'!N15</f>
        <v/>
      </c>
      <c r="O158" s="3" t="str">
        <f>'CSE3'!O15</f>
        <v/>
      </c>
      <c r="P158" s="3" t="str">
        <f>'CSE3'!P15</f>
        <v/>
      </c>
      <c r="Q158" s="3" t="str">
        <f>'CSE3'!Q15</f>
        <v/>
      </c>
      <c r="R158" s="3" t="str">
        <f>'CSE3'!R15</f>
        <v/>
      </c>
      <c r="S158" s="3" t="str">
        <f>'CSE3'!S15</f>
        <v/>
      </c>
      <c r="T158" s="3" t="str">
        <f>'CSE3'!T15</f>
        <v/>
      </c>
      <c r="U158" s="3" t="str">
        <f>'CSE3'!U15</f>
        <v/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4">
        <v>158.0</v>
      </c>
      <c r="B159" s="3">
        <f>'CSE3'!B16</f>
        <v>160118733135</v>
      </c>
      <c r="C159" s="3" t="str">
        <f>'CSE3'!C16</f>
        <v>L.H.Sanjana</v>
      </c>
      <c r="D159" s="7" t="str">
        <f>'CSE3'!D16</f>
        <v/>
      </c>
      <c r="E159" s="3" t="str">
        <f>'CSE3'!E16</f>
        <v>Accenture (ASE)</v>
      </c>
      <c r="F159" s="3" t="str">
        <f>'CSE3'!F16</f>
        <v>4.5 LPA</v>
      </c>
      <c r="G159" s="3" t="str">
        <f>'CSE3'!G16</f>
        <v>LTI (Level 1)</v>
      </c>
      <c r="H159" s="3" t="str">
        <f>'CSE3'!H16</f>
        <v>5 LPA</v>
      </c>
      <c r="I159" s="3" t="str">
        <f>'CSE3'!I16</f>
        <v/>
      </c>
      <c r="J159" s="3" t="str">
        <f>'CSE3'!J16</f>
        <v/>
      </c>
      <c r="K159" s="3" t="str">
        <f>'CSE3'!K16</f>
        <v/>
      </c>
      <c r="L159" s="3" t="str">
        <f>'CSE3'!L16</f>
        <v/>
      </c>
      <c r="M159" s="3" t="str">
        <f>'CSE3'!M16</f>
        <v/>
      </c>
      <c r="N159" s="3" t="str">
        <f>'CSE3'!N16</f>
        <v/>
      </c>
      <c r="O159" s="3" t="str">
        <f>'CSE3'!O16</f>
        <v/>
      </c>
      <c r="P159" s="3" t="str">
        <f>'CSE3'!P16</f>
        <v/>
      </c>
      <c r="Q159" s="3" t="str">
        <f>'CSE3'!Q16</f>
        <v/>
      </c>
      <c r="R159" s="3" t="str">
        <f>'CSE3'!R16</f>
        <v/>
      </c>
      <c r="S159" s="3" t="str">
        <f>'CSE3'!S16</f>
        <v/>
      </c>
      <c r="T159" s="3" t="str">
        <f>'CSE3'!T16</f>
        <v/>
      </c>
      <c r="U159" s="3" t="str">
        <f>'CSE3'!U16</f>
        <v/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4">
        <v>159.0</v>
      </c>
      <c r="B160" s="3">
        <f>'CSE3'!B17</f>
        <v>160118733136</v>
      </c>
      <c r="C160" s="3" t="str">
        <f>'CSE3'!C17</f>
        <v>K Sanjana Reddy</v>
      </c>
      <c r="D160" s="7" t="str">
        <f>'CSE3'!D17</f>
        <v>YES</v>
      </c>
      <c r="E160" s="3" t="str">
        <f>'CSE3'!E17</f>
        <v>Cognizant GenC</v>
      </c>
      <c r="F160" s="3" t="str">
        <f>'CSE3'!F17</f>
        <v>4 LPA</v>
      </c>
      <c r="G160" s="3" t="str">
        <f>'CSE3'!G17</f>
        <v/>
      </c>
      <c r="H160" s="3" t="str">
        <f>'CSE3'!H17</f>
        <v/>
      </c>
      <c r="I160" s="3" t="str">
        <f>'CSE3'!I17</f>
        <v/>
      </c>
      <c r="J160" s="3" t="str">
        <f>'CSE3'!J17</f>
        <v/>
      </c>
      <c r="K160" s="3" t="str">
        <f>'CSE3'!K17</f>
        <v/>
      </c>
      <c r="L160" s="3" t="str">
        <f>'CSE3'!L17</f>
        <v/>
      </c>
      <c r="M160" s="3" t="str">
        <f>'CSE3'!M17</f>
        <v/>
      </c>
      <c r="N160" s="3" t="str">
        <f>'CSE3'!N17</f>
        <v/>
      </c>
      <c r="O160" s="3" t="str">
        <f>'CSE3'!O17</f>
        <v/>
      </c>
      <c r="P160" s="3" t="str">
        <f>'CSE3'!P17</f>
        <v/>
      </c>
      <c r="Q160" s="3" t="str">
        <f>'CSE3'!Q17</f>
        <v/>
      </c>
      <c r="R160" s="3" t="str">
        <f>'CSE3'!R17</f>
        <v/>
      </c>
      <c r="S160" s="3" t="str">
        <f>'CSE3'!S17</f>
        <v/>
      </c>
      <c r="T160" s="3" t="str">
        <f>'CSE3'!T17</f>
        <v/>
      </c>
      <c r="U160" s="3" t="str">
        <f>'CSE3'!U17</f>
        <v/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4">
        <v>160.0</v>
      </c>
      <c r="B161" s="3">
        <f>'CSE3'!B18</f>
        <v>160118733137</v>
      </c>
      <c r="C161" s="3" t="str">
        <f>'CSE3'!C18</f>
        <v>Shreya boinipally</v>
      </c>
      <c r="D161" s="7" t="str">
        <f>'CSE3'!D18</f>
        <v/>
      </c>
      <c r="E161" s="3" t="str">
        <f>'CSE3'!E18</f>
        <v/>
      </c>
      <c r="F161" s="3" t="str">
        <f>'CSE3'!F18</f>
        <v/>
      </c>
      <c r="G161" s="3" t="str">
        <f>'CSE3'!G18</f>
        <v/>
      </c>
      <c r="H161" s="3" t="str">
        <f>'CSE3'!H18</f>
        <v/>
      </c>
      <c r="I161" s="3" t="str">
        <f>'CSE3'!I18</f>
        <v/>
      </c>
      <c r="J161" s="3" t="str">
        <f>'CSE3'!J18</f>
        <v/>
      </c>
      <c r="K161" s="3" t="str">
        <f>'CSE3'!K18</f>
        <v/>
      </c>
      <c r="L161" s="3" t="str">
        <f>'CSE3'!L18</f>
        <v/>
      </c>
      <c r="M161" s="3" t="str">
        <f>'CSE3'!M18</f>
        <v/>
      </c>
      <c r="N161" s="3" t="str">
        <f>'CSE3'!N18</f>
        <v/>
      </c>
      <c r="O161" s="3" t="str">
        <f>'CSE3'!O18</f>
        <v/>
      </c>
      <c r="P161" s="3" t="str">
        <f>'CSE3'!P18</f>
        <v/>
      </c>
      <c r="Q161" s="3" t="str">
        <f>'CSE3'!Q18</f>
        <v/>
      </c>
      <c r="R161" s="3" t="str">
        <f>'CSE3'!R18</f>
        <v/>
      </c>
      <c r="S161" s="3" t="str">
        <f>'CSE3'!S18</f>
        <v/>
      </c>
      <c r="T161" s="3" t="str">
        <f>'CSE3'!T18</f>
        <v/>
      </c>
      <c r="U161" s="3" t="str">
        <f>'CSE3'!U18</f>
        <v/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4">
        <v>161.0</v>
      </c>
      <c r="B162" s="3">
        <f>'CSE3'!B19</f>
        <v>160118733138</v>
      </c>
      <c r="C162" s="3" t="str">
        <f>'CSE3'!C19</f>
        <v>Slesha Adi</v>
      </c>
      <c r="D162" s="7" t="str">
        <f>'CSE3'!D19</f>
        <v>YES</v>
      </c>
      <c r="E162" s="3" t="str">
        <f>'CSE3'!E19</f>
        <v>JPMC </v>
      </c>
      <c r="F162" s="3" t="str">
        <f>'CSE3'!F19</f>
        <v>14 LPA</v>
      </c>
      <c r="G162" s="3" t="str">
        <f>'CSE3'!G19</f>
        <v/>
      </c>
      <c r="H162" s="3" t="str">
        <f>'CSE3'!H19</f>
        <v/>
      </c>
      <c r="I162" s="3" t="str">
        <f>'CSE3'!I19</f>
        <v/>
      </c>
      <c r="J162" s="3" t="str">
        <f>'CSE3'!J19</f>
        <v/>
      </c>
      <c r="K162" s="3" t="str">
        <f>'CSE3'!K19</f>
        <v/>
      </c>
      <c r="L162" s="3" t="str">
        <f>'CSE3'!L19</f>
        <v/>
      </c>
      <c r="M162" s="3" t="str">
        <f>'CSE3'!M19</f>
        <v/>
      </c>
      <c r="N162" s="3" t="str">
        <f>'CSE3'!N19</f>
        <v/>
      </c>
      <c r="O162" s="3" t="str">
        <f>'CSE3'!O19</f>
        <v/>
      </c>
      <c r="P162" s="3" t="str">
        <f>'CSE3'!P19</f>
        <v/>
      </c>
      <c r="Q162" s="3" t="str">
        <f>'CSE3'!Q19</f>
        <v/>
      </c>
      <c r="R162" s="3" t="str">
        <f>'CSE3'!R19</f>
        <v/>
      </c>
      <c r="S162" s="3" t="str">
        <f>'CSE3'!S19</f>
        <v/>
      </c>
      <c r="T162" s="3" t="str">
        <f>'CSE3'!T19</f>
        <v/>
      </c>
      <c r="U162" s="3" t="str">
        <f>'CSE3'!U19</f>
        <v/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4">
        <v>162.0</v>
      </c>
      <c r="B163" s="3">
        <f>'CSE3'!B20</f>
        <v>160118733139</v>
      </c>
      <c r="C163" s="3" t="str">
        <f>'CSE3'!C20</f>
        <v>Snigdha Reddy Suram</v>
      </c>
      <c r="D163" s="7" t="str">
        <f>'CSE3'!D20</f>
        <v>YES</v>
      </c>
      <c r="E163" s="3" t="str">
        <f>'CSE3'!E20</f>
        <v>Micron (ETD)</v>
      </c>
      <c r="F163" s="3" t="str">
        <f>'CSE3'!F20</f>
        <v>8.1 LPA</v>
      </c>
      <c r="G163" s="3" t="str">
        <f>'CSE3'!G20</f>
        <v>Infosys (SE)</v>
      </c>
      <c r="H163" s="3" t="str">
        <f>'CSE3'!H20</f>
        <v>3.6 LPA</v>
      </c>
      <c r="I163" s="3" t="str">
        <f>'CSE3'!I20</f>
        <v/>
      </c>
      <c r="J163" s="3" t="str">
        <f>'CSE3'!J20</f>
        <v/>
      </c>
      <c r="K163" s="3" t="str">
        <f>'CSE3'!K20</f>
        <v/>
      </c>
      <c r="L163" s="3" t="str">
        <f>'CSE3'!L20</f>
        <v/>
      </c>
      <c r="M163" s="3" t="str">
        <f>'CSE3'!M20</f>
        <v/>
      </c>
      <c r="N163" s="3" t="str">
        <f>'CSE3'!N20</f>
        <v/>
      </c>
      <c r="O163" s="3" t="str">
        <f>'CSE3'!O20</f>
        <v/>
      </c>
      <c r="P163" s="3" t="str">
        <f>'CSE3'!P20</f>
        <v/>
      </c>
      <c r="Q163" s="3" t="str">
        <f>'CSE3'!Q20</f>
        <v/>
      </c>
      <c r="R163" s="3" t="str">
        <f>'CSE3'!R20</f>
        <v/>
      </c>
      <c r="S163" s="3" t="str">
        <f>'CSE3'!S20</f>
        <v/>
      </c>
      <c r="T163" s="3" t="str">
        <f>'CSE3'!T20</f>
        <v/>
      </c>
      <c r="U163" s="3" t="str">
        <f>'CSE3'!U20</f>
        <v/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4">
        <v>163.0</v>
      </c>
      <c r="B164" s="3">
        <f>'CSE3'!B21</f>
        <v>160118733140</v>
      </c>
      <c r="C164" s="3" t="str">
        <f>'CSE3'!C21</f>
        <v>Gaddam Soumya Reddy</v>
      </c>
      <c r="D164" s="7" t="str">
        <f>'CSE3'!D21</f>
        <v/>
      </c>
      <c r="E164" s="3" t="str">
        <f>'CSE3'!E21</f>
        <v>Modak Analytics</v>
      </c>
      <c r="F164" s="3" t="str">
        <f>'CSE3'!F21</f>
        <v>6 LPA</v>
      </c>
      <c r="G164" s="3" t="str">
        <f>'CSE3'!G21</f>
        <v>Accenture (ASE)</v>
      </c>
      <c r="H164" s="3" t="str">
        <f>'CSE3'!H21</f>
        <v>4.5 LPA</v>
      </c>
      <c r="I164" s="3" t="str">
        <f>'CSE3'!I21</f>
        <v>LTI (Level 1)</v>
      </c>
      <c r="J164" s="3" t="str">
        <f>'CSE3'!J21</f>
        <v>5 LPA</v>
      </c>
      <c r="K164" s="3" t="str">
        <f>'CSE3'!K21</f>
        <v>Wipro</v>
      </c>
      <c r="L164" s="3" t="str">
        <f>'CSE3'!L21</f>
        <v>3.5 LPA</v>
      </c>
      <c r="M164" s="3" t="str">
        <f>'CSE3'!M21</f>
        <v/>
      </c>
      <c r="N164" s="3" t="str">
        <f>'CSE3'!N21</f>
        <v/>
      </c>
      <c r="O164" s="3" t="str">
        <f>'CSE3'!O21</f>
        <v/>
      </c>
      <c r="P164" s="3" t="str">
        <f>'CSE3'!P21</f>
        <v/>
      </c>
      <c r="Q164" s="3" t="str">
        <f>'CSE3'!Q21</f>
        <v/>
      </c>
      <c r="R164" s="3" t="str">
        <f>'CSE3'!R21</f>
        <v/>
      </c>
      <c r="S164" s="3" t="str">
        <f>'CSE3'!S21</f>
        <v/>
      </c>
      <c r="T164" s="3" t="str">
        <f>'CSE3'!T21</f>
        <v/>
      </c>
      <c r="U164" s="3" t="str">
        <f>'CSE3'!U21</f>
        <v/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4">
        <v>164.0</v>
      </c>
      <c r="B165" s="3">
        <f>'CSE3'!B22</f>
        <v>160118733141</v>
      </c>
      <c r="C165" s="3" t="str">
        <f>'CSE3'!C22</f>
        <v>Sudeepthi Telugu</v>
      </c>
      <c r="D165" s="7" t="str">
        <f>'CSE3'!D22</f>
        <v>YES</v>
      </c>
      <c r="E165" s="3" t="str">
        <f>'CSE3'!E22</f>
        <v>Accenture (ASE)</v>
      </c>
      <c r="F165" s="3" t="str">
        <f>'CSE3'!F22</f>
        <v>4.5 LPA</v>
      </c>
      <c r="G165" s="3" t="str">
        <f>'CSE3'!G22</f>
        <v>Capgemini (Analyst)</v>
      </c>
      <c r="H165" s="3" t="str">
        <f>'CSE3'!H22</f>
        <v>4 LPA</v>
      </c>
      <c r="I165" s="3" t="str">
        <f>'CSE3'!I22</f>
        <v>Wipro</v>
      </c>
      <c r="J165" s="3" t="str">
        <f>'CSE3'!J22</f>
        <v>3.5 LPA</v>
      </c>
      <c r="K165" s="3" t="str">
        <f>'CSE3'!K22</f>
        <v/>
      </c>
      <c r="L165" s="3" t="str">
        <f>'CSE3'!L22</f>
        <v/>
      </c>
      <c r="M165" s="3" t="str">
        <f>'CSE3'!M22</f>
        <v/>
      </c>
      <c r="N165" s="3" t="str">
        <f>'CSE3'!N22</f>
        <v/>
      </c>
      <c r="O165" s="3" t="str">
        <f>'CSE3'!O22</f>
        <v/>
      </c>
      <c r="P165" s="3" t="str">
        <f>'CSE3'!P22</f>
        <v/>
      </c>
      <c r="Q165" s="3" t="str">
        <f>'CSE3'!Q22</f>
        <v/>
      </c>
      <c r="R165" s="3" t="str">
        <f>'CSE3'!R22</f>
        <v/>
      </c>
      <c r="S165" s="3" t="str">
        <f>'CSE3'!S22</f>
        <v/>
      </c>
      <c r="T165" s="3" t="str">
        <f>'CSE3'!T22</f>
        <v/>
      </c>
      <c r="U165" s="3" t="str">
        <f>'CSE3'!U22</f>
        <v/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4">
        <v>165.0</v>
      </c>
      <c r="B166" s="3">
        <f>'CSE3'!B23</f>
        <v>160118733142</v>
      </c>
      <c r="C166" s="3" t="str">
        <f>'CSE3'!C23</f>
        <v>R Sumalatha</v>
      </c>
      <c r="D166" s="7" t="str">
        <f>'CSE3'!D23</f>
        <v/>
      </c>
      <c r="E166" s="3" t="str">
        <f>'CSE3'!E23</f>
        <v>Accenture (ASE)</v>
      </c>
      <c r="F166" s="3" t="str">
        <f>'CSE3'!F23</f>
        <v>4.5 LPA</v>
      </c>
      <c r="G166" s="3" t="str">
        <f>'CSE3'!G23</f>
        <v>LTI (Level 2)</v>
      </c>
      <c r="H166" s="3" t="str">
        <f>'CSE3'!H23</f>
        <v>6.5 LPA</v>
      </c>
      <c r="I166" s="3" t="str">
        <f>'CSE3'!I23</f>
        <v>Wipro</v>
      </c>
      <c r="J166" s="3" t="str">
        <f>'CSE3'!J23</f>
        <v>3.5 LPA</v>
      </c>
      <c r="K166" s="3" t="str">
        <f>'CSE3'!K23</f>
        <v/>
      </c>
      <c r="L166" s="3" t="str">
        <f>'CSE3'!L23</f>
        <v/>
      </c>
      <c r="M166" s="3" t="str">
        <f>'CSE3'!M23</f>
        <v/>
      </c>
      <c r="N166" s="3" t="str">
        <f>'CSE3'!N23</f>
        <v/>
      </c>
      <c r="O166" s="3" t="str">
        <f>'CSE3'!O23</f>
        <v/>
      </c>
      <c r="P166" s="3" t="str">
        <f>'CSE3'!P23</f>
        <v/>
      </c>
      <c r="Q166" s="3" t="str">
        <f>'CSE3'!Q23</f>
        <v/>
      </c>
      <c r="R166" s="3" t="str">
        <f>'CSE3'!R23</f>
        <v/>
      </c>
      <c r="S166" s="3" t="str">
        <f>'CSE3'!S23</f>
        <v/>
      </c>
      <c r="T166" s="3" t="str">
        <f>'CSE3'!T23</f>
        <v/>
      </c>
      <c r="U166" s="3" t="str">
        <f>'CSE3'!U23</f>
        <v/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4">
        <v>166.0</v>
      </c>
      <c r="B167" s="3">
        <f>'CSE3'!B24</f>
        <v>160118733143</v>
      </c>
      <c r="C167" s="3" t="str">
        <f>'CSE3'!C24</f>
        <v>Yasaswini Ummadi</v>
      </c>
      <c r="D167" s="7" t="str">
        <f>'CSE3'!D24</f>
        <v>YES</v>
      </c>
      <c r="E167" s="3" t="str">
        <f>'CSE3'!E24</f>
        <v>JPMC (PPO)</v>
      </c>
      <c r="F167" s="3" t="str">
        <f>'CSE3'!F24</f>
        <v>14 LPA</v>
      </c>
      <c r="G167" s="3" t="str">
        <f>'CSE3'!G24</f>
        <v/>
      </c>
      <c r="H167" s="3" t="str">
        <f>'CSE3'!H24</f>
        <v/>
      </c>
      <c r="I167" s="3" t="str">
        <f>'CSE3'!I24</f>
        <v/>
      </c>
      <c r="J167" s="3" t="str">
        <f>'CSE3'!J24</f>
        <v/>
      </c>
      <c r="K167" s="3" t="str">
        <f>'CSE3'!K24</f>
        <v/>
      </c>
      <c r="L167" s="3" t="str">
        <f>'CSE3'!L24</f>
        <v/>
      </c>
      <c r="M167" s="3" t="str">
        <f>'CSE3'!M24</f>
        <v/>
      </c>
      <c r="N167" s="3" t="str">
        <f>'CSE3'!N24</f>
        <v/>
      </c>
      <c r="O167" s="3" t="str">
        <f>'CSE3'!O24</f>
        <v/>
      </c>
      <c r="P167" s="3" t="str">
        <f>'CSE3'!P24</f>
        <v/>
      </c>
      <c r="Q167" s="3" t="str">
        <f>'CSE3'!Q24</f>
        <v/>
      </c>
      <c r="R167" s="3" t="str">
        <f>'CSE3'!R24</f>
        <v/>
      </c>
      <c r="S167" s="3" t="str">
        <f>'CSE3'!S24</f>
        <v/>
      </c>
      <c r="T167" s="3" t="str">
        <f>'CSE3'!T24</f>
        <v/>
      </c>
      <c r="U167" s="3" t="str">
        <f>'CSE3'!U24</f>
        <v/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4">
        <v>167.0</v>
      </c>
      <c r="B168" s="3">
        <f>'CSE3'!B25</f>
        <v>160118733144</v>
      </c>
      <c r="C168" s="3" t="str">
        <f>'CSE3'!C25</f>
        <v>P Ahmed Asrar Hussain</v>
      </c>
      <c r="D168" s="7" t="str">
        <f>'CSE3'!D25</f>
        <v>YES</v>
      </c>
      <c r="E168" s="3" t="str">
        <f>'CSE3'!E25</f>
        <v>Accenture (Adv ASE)</v>
      </c>
      <c r="F168" s="3" t="str">
        <f>'CSE3'!F25</f>
        <v>6.5 LPA</v>
      </c>
      <c r="G168" s="3" t="str">
        <f>'CSE3'!G25</f>
        <v>LTI (Level 2)</v>
      </c>
      <c r="H168" s="3" t="str">
        <f>'CSE3'!H25</f>
        <v>6.5 LPA</v>
      </c>
      <c r="I168" s="3" t="str">
        <f>'CSE3'!I25</f>
        <v>Cognizant GenC Elevate</v>
      </c>
      <c r="J168" s="3" t="str">
        <f>'CSE3'!J25</f>
        <v>4 LPA</v>
      </c>
      <c r="K168" s="3" t="str">
        <f>'CSE3'!K25</f>
        <v>Advance Auto Parts</v>
      </c>
      <c r="L168" s="3" t="str">
        <f>'CSE3'!L25</f>
        <v>9 LPA</v>
      </c>
      <c r="M168" s="3" t="str">
        <f>'CSE3'!M25</f>
        <v/>
      </c>
      <c r="N168" s="3" t="str">
        <f>'CSE3'!N25</f>
        <v/>
      </c>
      <c r="O168" s="3" t="str">
        <f>'CSE3'!O25</f>
        <v/>
      </c>
      <c r="P168" s="3" t="str">
        <f>'CSE3'!P25</f>
        <v/>
      </c>
      <c r="Q168" s="3" t="str">
        <f>'CSE3'!Q25</f>
        <v/>
      </c>
      <c r="R168" s="3" t="str">
        <f>'CSE3'!R25</f>
        <v/>
      </c>
      <c r="S168" s="3" t="str">
        <f>'CSE3'!S25</f>
        <v/>
      </c>
      <c r="T168" s="3" t="str">
        <f>'CSE3'!T25</f>
        <v/>
      </c>
      <c r="U168" s="3" t="str">
        <f>'CSE3'!U25</f>
        <v/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4">
        <v>168.0</v>
      </c>
      <c r="B169" s="3">
        <f>'CSE3'!B26</f>
        <v>160118733145</v>
      </c>
      <c r="C169" s="3" t="str">
        <f>'CSE3'!C26</f>
        <v>Pandu Akshay</v>
      </c>
      <c r="D169" s="7" t="str">
        <f>'CSE3'!D26</f>
        <v>YES</v>
      </c>
      <c r="E169" s="3" t="str">
        <f>'CSE3'!E26</f>
        <v>JPMC </v>
      </c>
      <c r="F169" s="3" t="str">
        <f>'CSE3'!F26</f>
        <v>14 LPA</v>
      </c>
      <c r="G169" s="3" t="str">
        <f>'CSE3'!G26</f>
        <v>Infosys (DSE)</v>
      </c>
      <c r="H169" s="3" t="str">
        <f>'CSE3'!H26</f>
        <v>6.25 LPA</v>
      </c>
      <c r="I169" s="3" t="str">
        <f>'CSE3'!I26</f>
        <v/>
      </c>
      <c r="J169" s="3" t="str">
        <f>'CSE3'!J26</f>
        <v/>
      </c>
      <c r="K169" s="3" t="str">
        <f>'CSE3'!K26</f>
        <v/>
      </c>
      <c r="L169" s="3" t="str">
        <f>'CSE3'!L26</f>
        <v/>
      </c>
      <c r="M169" s="3" t="str">
        <f>'CSE3'!M26</f>
        <v/>
      </c>
      <c r="N169" s="3" t="str">
        <f>'CSE3'!N26</f>
        <v/>
      </c>
      <c r="O169" s="3" t="str">
        <f>'CSE3'!O26</f>
        <v/>
      </c>
      <c r="P169" s="3" t="str">
        <f>'CSE3'!P26</f>
        <v/>
      </c>
      <c r="Q169" s="3" t="str">
        <f>'CSE3'!Q26</f>
        <v/>
      </c>
      <c r="R169" s="3" t="str">
        <f>'CSE3'!R26</f>
        <v/>
      </c>
      <c r="S169" s="3" t="str">
        <f>'CSE3'!S26</f>
        <v/>
      </c>
      <c r="T169" s="3" t="str">
        <f>'CSE3'!T26</f>
        <v/>
      </c>
      <c r="U169" s="3" t="str">
        <f>'CSE3'!U26</f>
        <v/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4">
        <v>169.0</v>
      </c>
      <c r="B170" s="3">
        <f>'CSE3'!B27</f>
        <v>160118733146</v>
      </c>
      <c r="C170" s="3" t="str">
        <f>'CSE3'!C27</f>
        <v>Anirudh Revalli</v>
      </c>
      <c r="D170" s="7" t="str">
        <f>'CSE3'!D27</f>
        <v>YES</v>
      </c>
      <c r="E170" s="3" t="str">
        <f>'CSE3'!E27</f>
        <v>JPMC </v>
      </c>
      <c r="F170" s="3" t="str">
        <f>'CSE3'!F27</f>
        <v>14 LPA</v>
      </c>
      <c r="G170" s="3" t="str">
        <f>'CSE3'!G27</f>
        <v/>
      </c>
      <c r="H170" s="3" t="str">
        <f>'CSE3'!H27</f>
        <v/>
      </c>
      <c r="I170" s="3" t="str">
        <f>'CSE3'!I27</f>
        <v/>
      </c>
      <c r="J170" s="3" t="str">
        <f>'CSE3'!J27</f>
        <v/>
      </c>
      <c r="K170" s="3" t="str">
        <f>'CSE3'!K27</f>
        <v/>
      </c>
      <c r="L170" s="3" t="str">
        <f>'CSE3'!L27</f>
        <v/>
      </c>
      <c r="M170" s="3" t="str">
        <f>'CSE3'!M27</f>
        <v/>
      </c>
      <c r="N170" s="3" t="str">
        <f>'CSE3'!N27</f>
        <v/>
      </c>
      <c r="O170" s="3" t="str">
        <f>'CSE3'!O27</f>
        <v/>
      </c>
      <c r="P170" s="3" t="str">
        <f>'CSE3'!P27</f>
        <v/>
      </c>
      <c r="Q170" s="3" t="str">
        <f>'CSE3'!Q27</f>
        <v/>
      </c>
      <c r="R170" s="3" t="str">
        <f>'CSE3'!R27</f>
        <v/>
      </c>
      <c r="S170" s="3" t="str">
        <f>'CSE3'!S27</f>
        <v/>
      </c>
      <c r="T170" s="3" t="str">
        <f>'CSE3'!T27</f>
        <v/>
      </c>
      <c r="U170" s="3" t="str">
        <f>'CSE3'!U27</f>
        <v/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4">
        <v>170.0</v>
      </c>
      <c r="B171" s="3">
        <f>'CSE3'!B28</f>
        <v>160118733147</v>
      </c>
      <c r="C171" s="3" t="str">
        <f>'CSE3'!C28</f>
        <v>Aryaman rao nagineni</v>
      </c>
      <c r="D171" s="7" t="str">
        <f>'CSE3'!D28</f>
        <v/>
      </c>
      <c r="E171" s="3" t="str">
        <f>'CSE3'!E28</f>
        <v/>
      </c>
      <c r="F171" s="3" t="str">
        <f>'CSE3'!F28</f>
        <v/>
      </c>
      <c r="G171" s="3" t="str">
        <f>'CSE3'!G28</f>
        <v/>
      </c>
      <c r="H171" s="3" t="str">
        <f>'CSE3'!H28</f>
        <v/>
      </c>
      <c r="I171" s="3" t="str">
        <f>'CSE3'!I28</f>
        <v/>
      </c>
      <c r="J171" s="3" t="str">
        <f>'CSE3'!J28</f>
        <v/>
      </c>
      <c r="K171" s="3" t="str">
        <f>'CSE3'!K28</f>
        <v/>
      </c>
      <c r="L171" s="3" t="str">
        <f>'CSE3'!L28</f>
        <v/>
      </c>
      <c r="M171" s="3" t="str">
        <f>'CSE3'!M28</f>
        <v/>
      </c>
      <c r="N171" s="3" t="str">
        <f>'CSE3'!N28</f>
        <v/>
      </c>
      <c r="O171" s="3" t="str">
        <f>'CSE3'!O28</f>
        <v/>
      </c>
      <c r="P171" s="3" t="str">
        <f>'CSE3'!P28</f>
        <v/>
      </c>
      <c r="Q171" s="3" t="str">
        <f>'CSE3'!Q28</f>
        <v/>
      </c>
      <c r="R171" s="3" t="str">
        <f>'CSE3'!R28</f>
        <v/>
      </c>
      <c r="S171" s="3" t="str">
        <f>'CSE3'!S28</f>
        <v/>
      </c>
      <c r="T171" s="3" t="str">
        <f>'CSE3'!T28</f>
        <v/>
      </c>
      <c r="U171" s="3" t="str">
        <f>'CSE3'!U28</f>
        <v/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4">
        <v>171.0</v>
      </c>
      <c r="B172" s="3">
        <f>'CSE3'!B29</f>
        <v>160118733148</v>
      </c>
      <c r="C172" s="3" t="str">
        <f>'CSE3'!C29</f>
        <v>Barnaboss Puli</v>
      </c>
      <c r="D172" s="7" t="str">
        <f>'CSE3'!D29</f>
        <v>YES</v>
      </c>
      <c r="E172" s="3" t="str">
        <f>'CSE3'!E29</f>
        <v>Keka</v>
      </c>
      <c r="F172" s="3" t="str">
        <f>'CSE3'!F29</f>
        <v>7 LPA</v>
      </c>
      <c r="G172" s="3" t="str">
        <f>'CSE3'!G29</f>
        <v/>
      </c>
      <c r="H172" s="3" t="str">
        <f>'CSE3'!H29</f>
        <v/>
      </c>
      <c r="I172" s="3" t="str">
        <f>'CSE3'!I29</f>
        <v/>
      </c>
      <c r="J172" s="3" t="str">
        <f>'CSE3'!J29</f>
        <v/>
      </c>
      <c r="K172" s="3" t="str">
        <f>'CSE3'!K29</f>
        <v/>
      </c>
      <c r="L172" s="3" t="str">
        <f>'CSE3'!L29</f>
        <v/>
      </c>
      <c r="M172" s="3" t="str">
        <f>'CSE3'!M29</f>
        <v/>
      </c>
      <c r="N172" s="3" t="str">
        <f>'CSE3'!N29</f>
        <v/>
      </c>
      <c r="O172" s="3" t="str">
        <f>'CSE3'!O29</f>
        <v/>
      </c>
      <c r="P172" s="3" t="str">
        <f>'CSE3'!P29</f>
        <v/>
      </c>
      <c r="Q172" s="3" t="str">
        <f>'CSE3'!Q29</f>
        <v/>
      </c>
      <c r="R172" s="3" t="str">
        <f>'CSE3'!R29</f>
        <v/>
      </c>
      <c r="S172" s="3" t="str">
        <f>'CSE3'!S29</f>
        <v/>
      </c>
      <c r="T172" s="3" t="str">
        <f>'CSE3'!T29</f>
        <v/>
      </c>
      <c r="U172" s="3" t="str">
        <f>'CSE3'!U29</f>
        <v/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4">
        <v>172.0</v>
      </c>
      <c r="B173" s="3">
        <f>'CSE3'!B30</f>
        <v>160118733149</v>
      </c>
      <c r="C173" s="3" t="str">
        <f>'CSE3'!C30</f>
        <v>Bharath Reddy Shyamala</v>
      </c>
      <c r="D173" s="7" t="str">
        <f>'CSE3'!D30</f>
        <v>YES</v>
      </c>
      <c r="E173" s="3" t="str">
        <f>'CSE3'!E30</f>
        <v>Accenture (ASE)</v>
      </c>
      <c r="F173" s="3" t="str">
        <f>'CSE3'!F30</f>
        <v>4.5 LPA</v>
      </c>
      <c r="G173" s="3" t="str">
        <f>'CSE3'!G30</f>
        <v>LTI (Level 1)</v>
      </c>
      <c r="H173" s="3" t="str">
        <f>'CSE3'!H30</f>
        <v>5 LPA</v>
      </c>
      <c r="I173" s="3" t="str">
        <f>'CSE3'!I30</f>
        <v>Cognizant GenC</v>
      </c>
      <c r="J173" s="3" t="str">
        <f>'CSE3'!J30</f>
        <v>4 LPA</v>
      </c>
      <c r="K173" s="3" t="str">
        <f>'CSE3'!K30</f>
        <v>Capgemini (Analyst)</v>
      </c>
      <c r="L173" s="3" t="str">
        <f>'CSE3'!L30</f>
        <v>4 LPA</v>
      </c>
      <c r="M173" s="3" t="str">
        <f>'CSE3'!M30</f>
        <v>Next Education</v>
      </c>
      <c r="N173" s="3" t="str">
        <f>'CSE3'!N30</f>
        <v>6 LPA</v>
      </c>
      <c r="O173" s="3" t="str">
        <f>'CSE3'!O30</f>
        <v>Wipro</v>
      </c>
      <c r="P173" s="3" t="str">
        <f>'CSE3'!P30</f>
        <v>3.5 LPA</v>
      </c>
      <c r="Q173" s="3" t="str">
        <f>'CSE3'!Q30</f>
        <v>Advance Auto Parts</v>
      </c>
      <c r="R173" s="3" t="str">
        <f>'CSE3'!R30</f>
        <v>9 LPA</v>
      </c>
      <c r="S173" s="3" t="str">
        <f>'CSE3'!S30</f>
        <v>PegaSystems</v>
      </c>
      <c r="T173" s="3" t="str">
        <f>'CSE3'!T30</f>
        <v>16 LPA</v>
      </c>
      <c r="U173" s="3" t="str">
        <f>'CSE3'!U30</f>
        <v/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4">
        <v>173.0</v>
      </c>
      <c r="B174" s="3">
        <f>'CSE3'!B31</f>
        <v>160118733151</v>
      </c>
      <c r="C174" s="3" t="str">
        <f>'CSE3'!C31</f>
        <v>Dharam teja mali</v>
      </c>
      <c r="D174" s="7" t="str">
        <f>'CSE3'!D31</f>
        <v>YES</v>
      </c>
      <c r="E174" s="3" t="str">
        <f>'CSE3'!E31</f>
        <v>BlueYonder</v>
      </c>
      <c r="F174" s="3" t="str">
        <f>'CSE3'!F31</f>
        <v>35k/m</v>
      </c>
      <c r="G174" s="3" t="str">
        <f>'CSE3'!G31</f>
        <v/>
      </c>
      <c r="H174" s="3" t="str">
        <f>'CSE3'!H31</f>
        <v/>
      </c>
      <c r="I174" s="3" t="str">
        <f>'CSE3'!I31</f>
        <v/>
      </c>
      <c r="J174" s="3" t="str">
        <f>'CSE3'!J31</f>
        <v/>
      </c>
      <c r="K174" s="3" t="str">
        <f>'CSE3'!K31</f>
        <v/>
      </c>
      <c r="L174" s="3" t="str">
        <f>'CSE3'!L31</f>
        <v/>
      </c>
      <c r="M174" s="3" t="str">
        <f>'CSE3'!M31</f>
        <v/>
      </c>
      <c r="N174" s="3" t="str">
        <f>'CSE3'!N31</f>
        <v/>
      </c>
      <c r="O174" s="3" t="str">
        <f>'CSE3'!O31</f>
        <v/>
      </c>
      <c r="P174" s="3" t="str">
        <f>'CSE3'!P31</f>
        <v/>
      </c>
      <c r="Q174" s="3" t="str">
        <f>'CSE3'!Q31</f>
        <v/>
      </c>
      <c r="R174" s="3" t="str">
        <f>'CSE3'!R31</f>
        <v/>
      </c>
      <c r="S174" s="3" t="str">
        <f>'CSE3'!S31</f>
        <v/>
      </c>
      <c r="T174" s="3" t="str">
        <f>'CSE3'!T31</f>
        <v/>
      </c>
      <c r="U174" s="3" t="str">
        <f>'CSE3'!U31</f>
        <v/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4">
        <v>174.0</v>
      </c>
      <c r="B175" s="3">
        <f>'CSE3'!B32</f>
        <v>160118733152</v>
      </c>
      <c r="C175" s="3" t="str">
        <f>'CSE3'!C32</f>
        <v>Hari Remella</v>
      </c>
      <c r="D175" s="7" t="str">
        <f>'CSE3'!D32</f>
        <v/>
      </c>
      <c r="E175" s="3" t="str">
        <f>'CSE3'!E32</f>
        <v/>
      </c>
      <c r="F175" s="3" t="str">
        <f>'CSE3'!F32</f>
        <v/>
      </c>
      <c r="G175" s="3" t="str">
        <f>'CSE3'!G32</f>
        <v/>
      </c>
      <c r="H175" s="3" t="str">
        <f>'CSE3'!H32</f>
        <v/>
      </c>
      <c r="I175" s="3" t="str">
        <f>'CSE3'!I32</f>
        <v/>
      </c>
      <c r="J175" s="3" t="str">
        <f>'CSE3'!J32</f>
        <v/>
      </c>
      <c r="K175" s="3" t="str">
        <f>'CSE3'!K32</f>
        <v/>
      </c>
      <c r="L175" s="3" t="str">
        <f>'CSE3'!L32</f>
        <v/>
      </c>
      <c r="M175" s="3" t="str">
        <f>'CSE3'!M32</f>
        <v/>
      </c>
      <c r="N175" s="3" t="str">
        <f>'CSE3'!N32</f>
        <v/>
      </c>
      <c r="O175" s="3" t="str">
        <f>'CSE3'!O32</f>
        <v/>
      </c>
      <c r="P175" s="3" t="str">
        <f>'CSE3'!P32</f>
        <v/>
      </c>
      <c r="Q175" s="3" t="str">
        <f>'CSE3'!Q32</f>
        <v/>
      </c>
      <c r="R175" s="3" t="str">
        <f>'CSE3'!R32</f>
        <v/>
      </c>
      <c r="S175" s="3" t="str">
        <f>'CSE3'!S32</f>
        <v/>
      </c>
      <c r="T175" s="3" t="str">
        <f>'CSE3'!T32</f>
        <v/>
      </c>
      <c r="U175" s="3" t="str">
        <f>'CSE3'!U32</f>
        <v/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4">
        <v>175.0</v>
      </c>
      <c r="B176" s="3">
        <f>'CSE3'!B33</f>
        <v>160118733153</v>
      </c>
      <c r="C176" s="3" t="str">
        <f>'CSE3'!C33</f>
        <v>Kakkireni Hrithik Pawan</v>
      </c>
      <c r="D176" s="7" t="str">
        <f>'CSE3'!D33</f>
        <v>YES</v>
      </c>
      <c r="E176" s="3" t="str">
        <f>'CSE3'!E33</f>
        <v>Cognizant GenC Elevate</v>
      </c>
      <c r="F176" s="3" t="str">
        <f>'CSE3'!F33</f>
        <v>4 LPA</v>
      </c>
      <c r="G176" s="3" t="str">
        <f>'CSE3'!G33</f>
        <v>LTI (Level 3)</v>
      </c>
      <c r="H176" s="3" t="str">
        <f>'CSE3'!H33</f>
        <v>8 LPA</v>
      </c>
      <c r="I176" s="3" t="str">
        <f>'CSE3'!I33</f>
        <v>Infosys (DSE)</v>
      </c>
      <c r="J176" s="3" t="str">
        <f>'CSE3'!J33</f>
        <v>6.25 LPA</v>
      </c>
      <c r="K176" s="3" t="str">
        <f>'CSE3'!K33</f>
        <v>Collins Aerospace (Internship)</v>
      </c>
      <c r="L176" s="3" t="str">
        <f>'CSE3'!L33</f>
        <v>6.25 LPA</v>
      </c>
      <c r="M176" s="3" t="str">
        <f>'CSE3'!M33</f>
        <v>Darwin Box (Internship)</v>
      </c>
      <c r="N176" s="3" t="str">
        <f>'CSE3'!N33</f>
        <v>25K</v>
      </c>
      <c r="O176" s="3" t="str">
        <f>'CSE3'!O33</f>
        <v>MTX</v>
      </c>
      <c r="P176" s="3" t="str">
        <f>'CSE3'!P33</f>
        <v>10.4 LPA</v>
      </c>
      <c r="Q176" s="3" t="str">
        <f>'CSE3'!Q33</f>
        <v/>
      </c>
      <c r="R176" s="3" t="str">
        <f>'CSE3'!R33</f>
        <v/>
      </c>
      <c r="S176" s="3" t="str">
        <f>'CSE3'!S33</f>
        <v/>
      </c>
      <c r="T176" s="3" t="str">
        <f>'CSE3'!T33</f>
        <v/>
      </c>
      <c r="U176" s="3" t="str">
        <f>'CSE3'!U33</f>
        <v/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4">
        <v>176.0</v>
      </c>
      <c r="B177" s="3">
        <f>'CSE3'!B34</f>
        <v>160118733154</v>
      </c>
      <c r="C177" s="3" t="str">
        <f>'CSE3'!C34</f>
        <v>Mohammed Ilyas Khan</v>
      </c>
      <c r="D177" s="7" t="str">
        <f>'CSE3'!D34</f>
        <v/>
      </c>
      <c r="E177" s="3" t="str">
        <f>'CSE3'!E34</f>
        <v>Infosys (DSE)</v>
      </c>
      <c r="F177" s="3" t="str">
        <f>'CSE3'!F34</f>
        <v>6.25 LPA</v>
      </c>
      <c r="G177" s="3" t="str">
        <f>'CSE3'!G34</f>
        <v>LTI (Level 1)</v>
      </c>
      <c r="H177" s="3" t="str">
        <f>'CSE3'!H34</f>
        <v>5 LPA</v>
      </c>
      <c r="I177" s="3" t="str">
        <f>'CSE3'!I34</f>
        <v>Wipro</v>
      </c>
      <c r="J177" s="3" t="str">
        <f>'CSE3'!J34</f>
        <v>3.5 LPA</v>
      </c>
      <c r="K177" s="3" t="str">
        <f>'CSE3'!K34</f>
        <v/>
      </c>
      <c r="L177" s="3" t="str">
        <f>'CSE3'!L34</f>
        <v/>
      </c>
      <c r="M177" s="3" t="str">
        <f>'CSE3'!M34</f>
        <v/>
      </c>
      <c r="N177" s="3" t="str">
        <f>'CSE3'!N34</f>
        <v/>
      </c>
      <c r="O177" s="3" t="str">
        <f>'CSE3'!O34</f>
        <v/>
      </c>
      <c r="P177" s="3" t="str">
        <f>'CSE3'!P34</f>
        <v/>
      </c>
      <c r="Q177" s="3" t="str">
        <f>'CSE3'!Q34</f>
        <v/>
      </c>
      <c r="R177" s="3" t="str">
        <f>'CSE3'!R34</f>
        <v/>
      </c>
      <c r="S177" s="3" t="str">
        <f>'CSE3'!S34</f>
        <v/>
      </c>
      <c r="T177" s="3" t="str">
        <f>'CSE3'!T34</f>
        <v/>
      </c>
      <c r="U177" s="3" t="str">
        <f>'CSE3'!U34</f>
        <v/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4">
        <v>177.0</v>
      </c>
      <c r="B178" s="3">
        <f>'CSE3'!B35</f>
        <v>160118733155</v>
      </c>
      <c r="C178" s="3" t="str">
        <f>'CSE3'!C35</f>
        <v>Eslavath keshav nayak</v>
      </c>
      <c r="D178" s="7" t="str">
        <f>'CSE3'!D35</f>
        <v>YES</v>
      </c>
      <c r="E178" s="3" t="str">
        <f>'CSE3'!E35</f>
        <v>LTI (Level 1)</v>
      </c>
      <c r="F178" s="3" t="str">
        <f>'CSE3'!F35</f>
        <v>5 LPA</v>
      </c>
      <c r="G178" s="3" t="str">
        <f>'CSE3'!G35</f>
        <v>Capgemini (Analyst)</v>
      </c>
      <c r="H178" s="3" t="str">
        <f>'CSE3'!H35</f>
        <v>4 LPA</v>
      </c>
      <c r="I178" s="3" t="str">
        <f>'CSE3'!I35</f>
        <v>TCS</v>
      </c>
      <c r="J178" s="3" t="str">
        <f>'CSE3'!J35</f>
        <v>3.8 LPA</v>
      </c>
      <c r="K178" s="3" t="str">
        <f>'CSE3'!K35</f>
        <v>DBS</v>
      </c>
      <c r="L178" s="3" t="str">
        <f>'CSE3'!L35</f>
        <v>8.5 LPA</v>
      </c>
      <c r="M178" s="3" t="str">
        <f>'CSE3'!M35</f>
        <v/>
      </c>
      <c r="N178" s="3" t="str">
        <f>'CSE3'!N35</f>
        <v/>
      </c>
      <c r="O178" s="3" t="str">
        <f>'CSE3'!O35</f>
        <v/>
      </c>
      <c r="P178" s="3" t="str">
        <f>'CSE3'!P35</f>
        <v/>
      </c>
      <c r="Q178" s="3" t="str">
        <f>'CSE3'!Q35</f>
        <v/>
      </c>
      <c r="R178" s="3" t="str">
        <f>'CSE3'!R35</f>
        <v/>
      </c>
      <c r="S178" s="3" t="str">
        <f>'CSE3'!S35</f>
        <v/>
      </c>
      <c r="T178" s="3" t="str">
        <f>'CSE3'!T35</f>
        <v/>
      </c>
      <c r="U178" s="3" t="str">
        <f>'CSE3'!U35</f>
        <v/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4">
        <v>178.0</v>
      </c>
      <c r="B179" s="3">
        <f>'CSE3'!B36</f>
        <v>160118733157</v>
      </c>
      <c r="C179" s="3" t="str">
        <f>'CSE3'!C36</f>
        <v>Rechintala Likhith Reddy</v>
      </c>
      <c r="D179" s="7" t="str">
        <f>'CSE3'!D36</f>
        <v>YES</v>
      </c>
      <c r="E179" s="3" t="str">
        <f>'CSE3'!E36</f>
        <v>Oracle (GBU)</v>
      </c>
      <c r="F179" s="3" t="str">
        <f>'CSE3'!F36</f>
        <v>16.64 LPA</v>
      </c>
      <c r="G179" s="3" t="str">
        <f>'CSE3'!G36</f>
        <v/>
      </c>
      <c r="H179" s="3" t="str">
        <f>'CSE3'!H36</f>
        <v/>
      </c>
      <c r="I179" s="3" t="str">
        <f>'CSE3'!I36</f>
        <v/>
      </c>
      <c r="J179" s="3" t="str">
        <f>'CSE3'!J36</f>
        <v/>
      </c>
      <c r="K179" s="3" t="str">
        <f>'CSE3'!K36</f>
        <v/>
      </c>
      <c r="L179" s="3" t="str">
        <f>'CSE3'!L36</f>
        <v/>
      </c>
      <c r="M179" s="3" t="str">
        <f>'CSE3'!M36</f>
        <v/>
      </c>
      <c r="N179" s="3" t="str">
        <f>'CSE3'!N36</f>
        <v/>
      </c>
      <c r="O179" s="3" t="str">
        <f>'CSE3'!O36</f>
        <v/>
      </c>
      <c r="P179" s="3" t="str">
        <f>'CSE3'!P36</f>
        <v/>
      </c>
      <c r="Q179" s="3" t="str">
        <f>'CSE3'!Q36</f>
        <v/>
      </c>
      <c r="R179" s="3" t="str">
        <f>'CSE3'!R36</f>
        <v/>
      </c>
      <c r="S179" s="3" t="str">
        <f>'CSE3'!S36</f>
        <v/>
      </c>
      <c r="T179" s="3" t="str">
        <f>'CSE3'!T36</f>
        <v/>
      </c>
      <c r="U179" s="3" t="str">
        <f>'CSE3'!U36</f>
        <v/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4">
        <v>179.0</v>
      </c>
      <c r="B180" s="3">
        <f>'CSE3'!B37</f>
        <v>160118733158</v>
      </c>
      <c r="C180" s="3" t="str">
        <f>'CSE3'!C37</f>
        <v>Mustafa Shanawaz Mohammed</v>
      </c>
      <c r="D180" s="7" t="str">
        <f>'CSE3'!D37</f>
        <v/>
      </c>
      <c r="E180" s="3" t="str">
        <f>'CSE3'!E37</f>
        <v/>
      </c>
      <c r="F180" s="3" t="str">
        <f>'CSE3'!F37</f>
        <v/>
      </c>
      <c r="G180" s="3" t="str">
        <f>'CSE3'!G37</f>
        <v/>
      </c>
      <c r="H180" s="3" t="str">
        <f>'CSE3'!H37</f>
        <v/>
      </c>
      <c r="I180" s="3" t="str">
        <f>'CSE3'!I37</f>
        <v/>
      </c>
      <c r="J180" s="3" t="str">
        <f>'CSE3'!J37</f>
        <v/>
      </c>
      <c r="K180" s="3" t="str">
        <f>'CSE3'!K37</f>
        <v/>
      </c>
      <c r="L180" s="3" t="str">
        <f>'CSE3'!L37</f>
        <v/>
      </c>
      <c r="M180" s="3" t="str">
        <f>'CSE3'!M37</f>
        <v/>
      </c>
      <c r="N180" s="3" t="str">
        <f>'CSE3'!N37</f>
        <v/>
      </c>
      <c r="O180" s="3" t="str">
        <f>'CSE3'!O37</f>
        <v/>
      </c>
      <c r="P180" s="3" t="str">
        <f>'CSE3'!P37</f>
        <v/>
      </c>
      <c r="Q180" s="3" t="str">
        <f>'CSE3'!Q37</f>
        <v/>
      </c>
      <c r="R180" s="3" t="str">
        <f>'CSE3'!R37</f>
        <v/>
      </c>
      <c r="S180" s="3" t="str">
        <f>'CSE3'!S37</f>
        <v/>
      </c>
      <c r="T180" s="3" t="str">
        <f>'CSE3'!T37</f>
        <v/>
      </c>
      <c r="U180" s="3" t="str">
        <f>'CSE3'!U37</f>
        <v/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4">
        <v>180.0</v>
      </c>
      <c r="B181" s="3">
        <f>'CSE3'!B38</f>
        <v>160118733159</v>
      </c>
      <c r="C181" s="3" t="str">
        <f>'CSE3'!C38</f>
        <v>VAYUVEGULA NAGA VENKATESH SRIPAD</v>
      </c>
      <c r="D181" s="7" t="str">
        <f>'CSE3'!D38</f>
        <v>YES</v>
      </c>
      <c r="E181" s="3" t="str">
        <f>'CSE3'!E38</f>
        <v>Accenture (Adv ASE)</v>
      </c>
      <c r="F181" s="3" t="str">
        <f>'CSE3'!F38</f>
        <v>6.5 LPA</v>
      </c>
      <c r="G181" s="3" t="str">
        <f>'CSE3'!G38</f>
        <v>Cognizant GenC</v>
      </c>
      <c r="H181" s="3" t="str">
        <f>'CSE3'!H38</f>
        <v>4 LPA</v>
      </c>
      <c r="I181" s="3" t="str">
        <f>'CSE3'!I38</f>
        <v>Model N</v>
      </c>
      <c r="J181" s="3" t="str">
        <f>'CSE3'!J38</f>
        <v>8 LPA</v>
      </c>
      <c r="K181" s="3" t="str">
        <f>'CSE3'!K38</f>
        <v/>
      </c>
      <c r="L181" s="3" t="str">
        <f>'CSE3'!L38</f>
        <v/>
      </c>
      <c r="M181" s="3" t="str">
        <f>'CSE3'!M38</f>
        <v/>
      </c>
      <c r="N181" s="3" t="str">
        <f>'CSE3'!N38</f>
        <v/>
      </c>
      <c r="O181" s="3" t="str">
        <f>'CSE3'!O38</f>
        <v/>
      </c>
      <c r="P181" s="3" t="str">
        <f>'CSE3'!P38</f>
        <v/>
      </c>
      <c r="Q181" s="3" t="str">
        <f>'CSE3'!Q38</f>
        <v/>
      </c>
      <c r="R181" s="3" t="str">
        <f>'CSE3'!R38</f>
        <v/>
      </c>
      <c r="S181" s="3" t="str">
        <f>'CSE3'!S38</f>
        <v/>
      </c>
      <c r="T181" s="3" t="str">
        <f>'CSE3'!T38</f>
        <v/>
      </c>
      <c r="U181" s="3" t="str">
        <f>'CSE3'!U38</f>
        <v/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4">
        <v>181.0</v>
      </c>
      <c r="B182" s="3">
        <f>'CSE3'!B39</f>
        <v>160118733160</v>
      </c>
      <c r="C182" s="3" t="str">
        <f>'CSE3'!C39</f>
        <v>Bejjam Naveen Kumar</v>
      </c>
      <c r="D182" s="7" t="str">
        <f>'CSE3'!D39</f>
        <v>YES</v>
      </c>
      <c r="E182" s="3" t="str">
        <f>'CSE3'!E39</f>
        <v>Modak Analytics</v>
      </c>
      <c r="F182" s="3" t="str">
        <f>'CSE3'!F39</f>
        <v>6 LPA</v>
      </c>
      <c r="G182" s="3" t="str">
        <f>'CSE3'!G39</f>
        <v>LTI (Level 1)</v>
      </c>
      <c r="H182" s="3" t="str">
        <f>'CSE3'!H39</f>
        <v>5 LPA</v>
      </c>
      <c r="I182" s="3" t="str">
        <f>'CSE3'!I39</f>
        <v>TCS</v>
      </c>
      <c r="J182" s="3" t="str">
        <f>'CSE3'!J39</f>
        <v>3.8 LPA</v>
      </c>
      <c r="K182" s="3" t="str">
        <f>'CSE3'!K39</f>
        <v>MuSigma</v>
      </c>
      <c r="L182" s="3" t="str">
        <f>'CSE3'!L39</f>
        <v>7.5 LPA</v>
      </c>
      <c r="M182" s="3" t="str">
        <f>'CSE3'!M39</f>
        <v>Loyalty Juggernaut Inc</v>
      </c>
      <c r="N182" s="3" t="str">
        <f>'CSE3'!N39</f>
        <v>7 LPA</v>
      </c>
      <c r="O182" s="3" t="str">
        <f>'CSE3'!O39</f>
        <v/>
      </c>
      <c r="P182" s="3" t="str">
        <f>'CSE3'!P39</f>
        <v/>
      </c>
      <c r="Q182" s="3" t="str">
        <f>'CSE3'!Q39</f>
        <v/>
      </c>
      <c r="R182" s="3" t="str">
        <f>'CSE3'!R39</f>
        <v/>
      </c>
      <c r="S182" s="3" t="str">
        <f>'CSE3'!S39</f>
        <v/>
      </c>
      <c r="T182" s="3" t="str">
        <f>'CSE3'!T39</f>
        <v/>
      </c>
      <c r="U182" s="3" t="str">
        <f>'CSE3'!U39</f>
        <v/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4">
        <v>182.0</v>
      </c>
      <c r="B183" s="3">
        <f>'CSE3'!B40</f>
        <v>160118733161</v>
      </c>
      <c r="C183" s="3" t="str">
        <f>'CSE3'!C40</f>
        <v>Barkam Pavan kumar</v>
      </c>
      <c r="D183" s="7" t="str">
        <f>'CSE3'!D40</f>
        <v/>
      </c>
      <c r="E183" s="3" t="str">
        <f>'CSE3'!E40</f>
        <v>LTTS</v>
      </c>
      <c r="F183" s="3" t="str">
        <f>'CSE3'!F40</f>
        <v>4.5 LPA</v>
      </c>
      <c r="G183" s="3" t="str">
        <f>'CSE3'!G40</f>
        <v/>
      </c>
      <c r="H183" s="3" t="str">
        <f>'CSE3'!H40</f>
        <v/>
      </c>
      <c r="I183" s="3" t="str">
        <f>'CSE3'!I40</f>
        <v/>
      </c>
      <c r="J183" s="3" t="str">
        <f>'CSE3'!J40</f>
        <v/>
      </c>
      <c r="K183" s="3" t="str">
        <f>'CSE3'!K40</f>
        <v/>
      </c>
      <c r="L183" s="3" t="str">
        <f>'CSE3'!L40</f>
        <v/>
      </c>
      <c r="M183" s="3" t="str">
        <f>'CSE3'!M40</f>
        <v/>
      </c>
      <c r="N183" s="3" t="str">
        <f>'CSE3'!N40</f>
        <v/>
      </c>
      <c r="O183" s="3" t="str">
        <f>'CSE3'!O40</f>
        <v/>
      </c>
      <c r="P183" s="3" t="str">
        <f>'CSE3'!P40</f>
        <v/>
      </c>
      <c r="Q183" s="3" t="str">
        <f>'CSE3'!Q40</f>
        <v/>
      </c>
      <c r="R183" s="3" t="str">
        <f>'CSE3'!R40</f>
        <v/>
      </c>
      <c r="S183" s="3" t="str">
        <f>'CSE3'!S40</f>
        <v/>
      </c>
      <c r="T183" s="3" t="str">
        <f>'CSE3'!T40</f>
        <v/>
      </c>
      <c r="U183" s="3" t="str">
        <f>'CSE3'!U40</f>
        <v/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4">
        <v>183.0</v>
      </c>
      <c r="B184" s="3">
        <f>'CSE3'!B41</f>
        <v>160118733162</v>
      </c>
      <c r="C184" s="3" t="str">
        <f>'CSE3'!C41</f>
        <v>Rayella Pavan Kumar</v>
      </c>
      <c r="D184" s="7" t="str">
        <f>'CSE3'!D41</f>
        <v>YES</v>
      </c>
      <c r="E184" s="3" t="str">
        <f>'CSE3'!E41</f>
        <v>LTI (Level 1)</v>
      </c>
      <c r="F184" s="3" t="str">
        <f>'CSE3'!F41</f>
        <v>5 LPA</v>
      </c>
      <c r="G184" s="3" t="str">
        <f>'CSE3'!G41</f>
        <v>Cognizant GenC Elevate</v>
      </c>
      <c r="H184" s="3" t="str">
        <f>'CSE3'!H41</f>
        <v>4 LPA</v>
      </c>
      <c r="I184" s="3" t="str">
        <f>'CSE3'!I41</f>
        <v>Wipro</v>
      </c>
      <c r="J184" s="3" t="str">
        <f>'CSE3'!J41</f>
        <v>3.5 LPA</v>
      </c>
      <c r="K184" s="3" t="str">
        <f>'CSE3'!K41</f>
        <v>Darwin Box (Internship)</v>
      </c>
      <c r="L184" s="3" t="str">
        <f>'CSE3'!L41</f>
        <v>25K</v>
      </c>
      <c r="M184" s="3" t="str">
        <f>'CSE3'!M41</f>
        <v/>
      </c>
      <c r="N184" s="3" t="str">
        <f>'CSE3'!N41</f>
        <v/>
      </c>
      <c r="O184" s="3" t="str">
        <f>'CSE3'!O41</f>
        <v/>
      </c>
      <c r="P184" s="3" t="str">
        <f>'CSE3'!P41</f>
        <v/>
      </c>
      <c r="Q184" s="3" t="str">
        <f>'CSE3'!Q41</f>
        <v/>
      </c>
      <c r="R184" s="3" t="str">
        <f>'CSE3'!R41</f>
        <v/>
      </c>
      <c r="S184" s="3" t="str">
        <f>'CSE3'!S41</f>
        <v/>
      </c>
      <c r="T184" s="3" t="str">
        <f>'CSE3'!T41</f>
        <v/>
      </c>
      <c r="U184" s="3" t="str">
        <f>'CSE3'!U41</f>
        <v/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4">
        <v>184.0</v>
      </c>
      <c r="B185" s="3">
        <f>'CSE3'!B42</f>
        <v>160118733163</v>
      </c>
      <c r="C185" s="3" t="str">
        <f>'CSE3'!C42</f>
        <v>Pittala Rahul</v>
      </c>
      <c r="D185" s="7" t="str">
        <f>'CSE3'!D42</f>
        <v>YES</v>
      </c>
      <c r="E185" s="3" t="str">
        <f>'CSE3'!E42</f>
        <v>Capgemini (Sr.Analyst)</v>
      </c>
      <c r="F185" s="3" t="str">
        <f>'CSE3'!F42</f>
        <v>7.5 LPA</v>
      </c>
      <c r="G185" s="3" t="str">
        <f>'CSE3'!G42</f>
        <v>Accenture (ASE)</v>
      </c>
      <c r="H185" s="3" t="str">
        <f>'CSE3'!H42</f>
        <v>4.5 LPA</v>
      </c>
      <c r="I185" s="3" t="str">
        <f>'CSE3'!I42</f>
        <v>LTI (Level 1)</v>
      </c>
      <c r="J185" s="3" t="str">
        <f>'CSE3'!J42</f>
        <v>5 LPA</v>
      </c>
      <c r="K185" s="3" t="str">
        <f>'CSE3'!K42</f>
        <v>Wipro</v>
      </c>
      <c r="L185" s="3" t="str">
        <f>'CSE3'!L42</f>
        <v>3.5 LPA</v>
      </c>
      <c r="M185" s="3" t="str">
        <f>'CSE3'!M42</f>
        <v>MTX</v>
      </c>
      <c r="N185" s="3" t="str">
        <f>'CSE3'!N42</f>
        <v>10.4 LPA</v>
      </c>
      <c r="O185" s="3" t="str">
        <f>'CSE3'!O42</f>
        <v/>
      </c>
      <c r="P185" s="3" t="str">
        <f>'CSE3'!P42</f>
        <v/>
      </c>
      <c r="Q185" s="3" t="str">
        <f>'CSE3'!Q42</f>
        <v/>
      </c>
      <c r="R185" s="3" t="str">
        <f>'CSE3'!R42</f>
        <v/>
      </c>
      <c r="S185" s="3" t="str">
        <f>'CSE3'!S42</f>
        <v/>
      </c>
      <c r="T185" s="3" t="str">
        <f>'CSE3'!T42</f>
        <v/>
      </c>
      <c r="U185" s="3" t="str">
        <f>'CSE3'!U42</f>
        <v/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4">
        <v>185.0</v>
      </c>
      <c r="B186" s="3">
        <f>'CSE3'!B43</f>
        <v>160118733164</v>
      </c>
      <c r="C186" s="3" t="str">
        <f>'CSE3'!C43</f>
        <v>Ranganath Venkata Machavaram</v>
      </c>
      <c r="D186" s="7" t="str">
        <f>'CSE3'!D43</f>
        <v/>
      </c>
      <c r="E186" s="3" t="str">
        <f>'CSE3'!E43</f>
        <v/>
      </c>
      <c r="F186" s="3" t="str">
        <f>'CSE3'!F43</f>
        <v/>
      </c>
      <c r="G186" s="3" t="str">
        <f>'CSE3'!G43</f>
        <v/>
      </c>
      <c r="H186" s="3" t="str">
        <f>'CSE3'!H43</f>
        <v/>
      </c>
      <c r="I186" s="3" t="str">
        <f>'CSE3'!I43</f>
        <v/>
      </c>
      <c r="J186" s="3" t="str">
        <f>'CSE3'!J43</f>
        <v/>
      </c>
      <c r="K186" s="3" t="str">
        <f>'CSE3'!K43</f>
        <v/>
      </c>
      <c r="L186" s="3" t="str">
        <f>'CSE3'!L43</f>
        <v/>
      </c>
      <c r="M186" s="3" t="str">
        <f>'CSE3'!M43</f>
        <v/>
      </c>
      <c r="N186" s="3" t="str">
        <f>'CSE3'!N43</f>
        <v/>
      </c>
      <c r="O186" s="3" t="str">
        <f>'CSE3'!O43</f>
        <v/>
      </c>
      <c r="P186" s="3" t="str">
        <f>'CSE3'!P43</f>
        <v/>
      </c>
      <c r="Q186" s="3" t="str">
        <f>'CSE3'!Q43</f>
        <v/>
      </c>
      <c r="R186" s="3" t="str">
        <f>'CSE3'!R43</f>
        <v/>
      </c>
      <c r="S186" s="3" t="str">
        <f>'CSE3'!S43</f>
        <v/>
      </c>
      <c r="T186" s="3" t="str">
        <f>'CSE3'!T43</f>
        <v/>
      </c>
      <c r="U186" s="3" t="str">
        <f>'CSE3'!U43</f>
        <v/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4">
        <v>186.0</v>
      </c>
      <c r="B187" s="3">
        <f>'CSE3'!B44</f>
        <v>160118733165</v>
      </c>
      <c r="C187" s="3" t="str">
        <f>'CSE3'!C44</f>
        <v>Rithik Kotha</v>
      </c>
      <c r="D187" s="7" t="str">
        <f>'CSE3'!D44</f>
        <v>YES</v>
      </c>
      <c r="E187" s="3" t="str">
        <f>'CSE3'!E44</f>
        <v>JPMC </v>
      </c>
      <c r="F187" s="3" t="str">
        <f>'CSE3'!F44</f>
        <v>14 LPA</v>
      </c>
      <c r="G187" s="3" t="str">
        <f>'CSE3'!G44</f>
        <v/>
      </c>
      <c r="H187" s="3" t="str">
        <f>'CSE3'!H44</f>
        <v/>
      </c>
      <c r="I187" s="3" t="str">
        <f>'CSE3'!I44</f>
        <v/>
      </c>
      <c r="J187" s="3" t="str">
        <f>'CSE3'!J44</f>
        <v/>
      </c>
      <c r="K187" s="3" t="str">
        <f>'CSE3'!K44</f>
        <v/>
      </c>
      <c r="L187" s="3" t="str">
        <f>'CSE3'!L44</f>
        <v/>
      </c>
      <c r="M187" s="3" t="str">
        <f>'CSE3'!M44</f>
        <v/>
      </c>
      <c r="N187" s="3" t="str">
        <f>'CSE3'!N44</f>
        <v/>
      </c>
      <c r="O187" s="3" t="str">
        <f>'CSE3'!O44</f>
        <v/>
      </c>
      <c r="P187" s="3" t="str">
        <f>'CSE3'!P44</f>
        <v/>
      </c>
      <c r="Q187" s="3" t="str">
        <f>'CSE3'!Q44</f>
        <v/>
      </c>
      <c r="R187" s="3" t="str">
        <f>'CSE3'!R44</f>
        <v/>
      </c>
      <c r="S187" s="3" t="str">
        <f>'CSE3'!S44</f>
        <v/>
      </c>
      <c r="T187" s="3" t="str">
        <f>'CSE3'!T44</f>
        <v/>
      </c>
      <c r="U187" s="3" t="str">
        <f>'CSE3'!U44</f>
        <v/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4">
        <v>187.0</v>
      </c>
      <c r="B188" s="3">
        <f>'CSE3'!B45</f>
        <v>160118733166</v>
      </c>
      <c r="C188" s="3" t="str">
        <f>'CSE3'!C45</f>
        <v>Kesireddy Rohit Reddy</v>
      </c>
      <c r="D188" s="7" t="str">
        <f>'CSE3'!D45</f>
        <v/>
      </c>
      <c r="E188" s="3" t="str">
        <f>'CSE3'!E45</f>
        <v>Barclays</v>
      </c>
      <c r="F188" s="3" t="str">
        <f>'CSE3'!F45</f>
        <v>12.73 LPA</v>
      </c>
      <c r="G188" s="3" t="str">
        <f>'CSE3'!G45</f>
        <v>Accenture (ASE)</v>
      </c>
      <c r="H188" s="3" t="str">
        <f>'CSE3'!H45</f>
        <v>4.5 LPA</v>
      </c>
      <c r="I188" s="3" t="str">
        <f>'CSE3'!I45</f>
        <v>Infosys (DSE)</v>
      </c>
      <c r="J188" s="3" t="str">
        <f>'CSE3'!J45</f>
        <v>6.25 LPA</v>
      </c>
      <c r="K188" s="3" t="str">
        <f>'CSE3'!K45</f>
        <v/>
      </c>
      <c r="L188" s="3" t="str">
        <f>'CSE3'!L45</f>
        <v/>
      </c>
      <c r="M188" s="3" t="str">
        <f>'CSE3'!M45</f>
        <v/>
      </c>
      <c r="N188" s="3" t="str">
        <f>'CSE3'!N45</f>
        <v/>
      </c>
      <c r="O188" s="3" t="str">
        <f>'CSE3'!O45</f>
        <v/>
      </c>
      <c r="P188" s="3" t="str">
        <f>'CSE3'!P45</f>
        <v/>
      </c>
      <c r="Q188" s="3" t="str">
        <f>'CSE3'!Q45</f>
        <v/>
      </c>
      <c r="R188" s="3" t="str">
        <f>'CSE3'!R45</f>
        <v/>
      </c>
      <c r="S188" s="3" t="str">
        <f>'CSE3'!S45</f>
        <v/>
      </c>
      <c r="T188" s="3" t="str">
        <f>'CSE3'!T45</f>
        <v/>
      </c>
      <c r="U188" s="3" t="str">
        <f>'CSE3'!U45</f>
        <v/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4">
        <v>188.0</v>
      </c>
      <c r="B189" s="3">
        <f>'CSE3'!B46</f>
        <v>160118733167</v>
      </c>
      <c r="C189" s="3" t="str">
        <f>'CSE3'!C46</f>
        <v>Sai Chandra Pothuri</v>
      </c>
      <c r="D189" s="7" t="str">
        <f>'CSE3'!D46</f>
        <v>YES</v>
      </c>
      <c r="E189" s="3" t="str">
        <f>'CSE3'!E46</f>
        <v>Oracle (GBU)</v>
      </c>
      <c r="F189" s="3" t="str">
        <f>'CSE3'!F46</f>
        <v>16.64 LPA</v>
      </c>
      <c r="G189" s="3" t="str">
        <f>'CSE3'!G46</f>
        <v/>
      </c>
      <c r="H189" s="3" t="str">
        <f>'CSE3'!H46</f>
        <v/>
      </c>
      <c r="I189" s="3" t="str">
        <f>'CSE3'!I46</f>
        <v/>
      </c>
      <c r="J189" s="3" t="str">
        <f>'CSE3'!J46</f>
        <v/>
      </c>
      <c r="K189" s="3" t="str">
        <f>'CSE3'!K46</f>
        <v/>
      </c>
      <c r="L189" s="3" t="str">
        <f>'CSE3'!L46</f>
        <v/>
      </c>
      <c r="M189" s="3" t="str">
        <f>'CSE3'!M46</f>
        <v/>
      </c>
      <c r="N189" s="3" t="str">
        <f>'CSE3'!N46</f>
        <v/>
      </c>
      <c r="O189" s="3" t="str">
        <f>'CSE3'!O46</f>
        <v/>
      </c>
      <c r="P189" s="3" t="str">
        <f>'CSE3'!P46</f>
        <v/>
      </c>
      <c r="Q189" s="3" t="str">
        <f>'CSE3'!Q46</f>
        <v/>
      </c>
      <c r="R189" s="3" t="str">
        <f>'CSE3'!R46</f>
        <v/>
      </c>
      <c r="S189" s="3" t="str">
        <f>'CSE3'!S46</f>
        <v/>
      </c>
      <c r="T189" s="3" t="str">
        <f>'CSE3'!T46</f>
        <v/>
      </c>
      <c r="U189" s="3" t="str">
        <f>'CSE3'!U46</f>
        <v/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4">
        <v>189.0</v>
      </c>
      <c r="B190" s="3">
        <f>'CSE3'!B47</f>
        <v>160118733168</v>
      </c>
      <c r="C190" s="3" t="str">
        <f>'CSE3'!C47</f>
        <v>Dachepally Sai kiran</v>
      </c>
      <c r="D190" s="7" t="str">
        <f>'CSE3'!D47</f>
        <v>YES</v>
      </c>
      <c r="E190" s="3" t="str">
        <f>'CSE3'!E47</f>
        <v>Infosys (SE)</v>
      </c>
      <c r="F190" s="3" t="str">
        <f>'CSE3'!F47</f>
        <v>3.6 LPA</v>
      </c>
      <c r="G190" s="3" t="str">
        <f>'CSE3'!G47</f>
        <v>Keka</v>
      </c>
      <c r="H190" s="3" t="str">
        <f>'CSE3'!H47</f>
        <v>7 LPA</v>
      </c>
      <c r="I190" s="3" t="str">
        <f>'CSE3'!I47</f>
        <v>DBS</v>
      </c>
      <c r="J190" s="3" t="str">
        <f>'CSE3'!J47</f>
        <v>8.5 LPA</v>
      </c>
      <c r="K190" s="3" t="str">
        <f>'CSE3'!K47</f>
        <v>Head Digital Works</v>
      </c>
      <c r="L190" s="3" t="str">
        <f>'CSE3'!L47</f>
        <v>12 LPA</v>
      </c>
      <c r="M190" s="3" t="str">
        <f>'CSE3'!M47</f>
        <v/>
      </c>
      <c r="N190" s="3" t="str">
        <f>'CSE3'!N47</f>
        <v/>
      </c>
      <c r="O190" s="3" t="str">
        <f>'CSE3'!O47</f>
        <v/>
      </c>
      <c r="P190" s="3" t="str">
        <f>'CSE3'!P47</f>
        <v/>
      </c>
      <c r="Q190" s="3" t="str">
        <f>'CSE3'!Q47</f>
        <v/>
      </c>
      <c r="R190" s="3" t="str">
        <f>'CSE3'!R47</f>
        <v/>
      </c>
      <c r="S190" s="3" t="str">
        <f>'CSE3'!S47</f>
        <v/>
      </c>
      <c r="T190" s="3" t="str">
        <f>'CSE3'!T47</f>
        <v/>
      </c>
      <c r="U190" s="3" t="str">
        <f>'CSE3'!U47</f>
        <v/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4">
        <v>190.0</v>
      </c>
      <c r="B191" s="3">
        <f>'CSE3'!B48</f>
        <v>160118733169</v>
      </c>
      <c r="C191" s="3" t="str">
        <f>'CSE3'!C48</f>
        <v>Sai Kiran Parimi</v>
      </c>
      <c r="D191" s="7" t="str">
        <f>'CSE3'!D48</f>
        <v>YES</v>
      </c>
      <c r="E191" s="3" t="str">
        <f>'CSE3'!E48</f>
        <v>Frugal Testing</v>
      </c>
      <c r="F191" s="3" t="str">
        <f>'CSE3'!F48</f>
        <v>5 LPA</v>
      </c>
      <c r="G191" s="3" t="str">
        <f>'CSE3'!G48</f>
        <v>Oracle (FSGBU)</v>
      </c>
      <c r="H191" s="3" t="str">
        <f>'CSE3'!H48</f>
        <v>16.64 LPA</v>
      </c>
      <c r="I191" s="3" t="str">
        <f>'CSE3'!I48</f>
        <v>Cognizant GenC</v>
      </c>
      <c r="J191" s="3" t="str">
        <f>'CSE3'!J48</f>
        <v>4 LPA</v>
      </c>
      <c r="K191" s="3" t="str">
        <f>'CSE3'!K48</f>
        <v/>
      </c>
      <c r="L191" s="3" t="str">
        <f>'CSE3'!L48</f>
        <v/>
      </c>
      <c r="M191" s="3" t="str">
        <f>'CSE3'!M48</f>
        <v/>
      </c>
      <c r="N191" s="3" t="str">
        <f>'CSE3'!N48</f>
        <v/>
      </c>
      <c r="O191" s="3" t="str">
        <f>'CSE3'!O48</f>
        <v/>
      </c>
      <c r="P191" s="3" t="str">
        <f>'CSE3'!P48</f>
        <v/>
      </c>
      <c r="Q191" s="3" t="str">
        <f>'CSE3'!Q48</f>
        <v/>
      </c>
      <c r="R191" s="3" t="str">
        <f>'CSE3'!R48</f>
        <v/>
      </c>
      <c r="S191" s="3" t="str">
        <f>'CSE3'!S48</f>
        <v/>
      </c>
      <c r="T191" s="3" t="str">
        <f>'CSE3'!T48</f>
        <v/>
      </c>
      <c r="U191" s="3" t="str">
        <f>'CSE3'!U48</f>
        <v/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4">
        <v>191.0</v>
      </c>
      <c r="B192" s="3">
        <f>'CSE3'!B49</f>
        <v>160118733170</v>
      </c>
      <c r="C192" s="3" t="str">
        <f>'CSE3'!C49</f>
        <v>PANASA SAI PAVAN</v>
      </c>
      <c r="D192" s="7" t="str">
        <f>'CSE3'!D49</f>
        <v>YES</v>
      </c>
      <c r="E192" s="3" t="str">
        <f>'CSE3'!E49</f>
        <v>Capgemini (Analyst)</v>
      </c>
      <c r="F192" s="3" t="str">
        <f>'CSE3'!F49</f>
        <v>4 LPA</v>
      </c>
      <c r="G192" s="3" t="str">
        <f>'CSE3'!G49</f>
        <v>Wipro</v>
      </c>
      <c r="H192" s="3" t="str">
        <f>'CSE3'!H49</f>
        <v>3.5 LPA</v>
      </c>
      <c r="I192" s="3" t="str">
        <f>'CSE3'!I49</f>
        <v>Samsung (internship)</v>
      </c>
      <c r="J192" s="3" t="str">
        <f>'CSE3'!J49</f>
        <v>30k</v>
      </c>
      <c r="K192" s="3" t="str">
        <f>'CSE3'!K49</f>
        <v/>
      </c>
      <c r="L192" s="3" t="str">
        <f>'CSE3'!L49</f>
        <v/>
      </c>
      <c r="M192" s="3" t="str">
        <f>'CSE3'!M49</f>
        <v/>
      </c>
      <c r="N192" s="3" t="str">
        <f>'CSE3'!N49</f>
        <v/>
      </c>
      <c r="O192" s="3" t="str">
        <f>'CSE3'!O49</f>
        <v/>
      </c>
      <c r="P192" s="3" t="str">
        <f>'CSE3'!P49</f>
        <v/>
      </c>
      <c r="Q192" s="3" t="str">
        <f>'CSE3'!Q49</f>
        <v/>
      </c>
      <c r="R192" s="3" t="str">
        <f>'CSE3'!R49</f>
        <v/>
      </c>
      <c r="S192" s="3" t="str">
        <f>'CSE3'!S49</f>
        <v/>
      </c>
      <c r="T192" s="3" t="str">
        <f>'CSE3'!T49</f>
        <v/>
      </c>
      <c r="U192" s="3" t="str">
        <f>'CSE3'!U49</f>
        <v/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4">
        <v>192.0</v>
      </c>
      <c r="B193" s="3">
        <f>'CSE3'!B50</f>
        <v>160118733171</v>
      </c>
      <c r="C193" s="3" t="str">
        <f>'CSE3'!C50</f>
        <v>Sai Sanjeev Kumar Reddy Boppidi</v>
      </c>
      <c r="D193" s="7" t="str">
        <f>'CSE3'!D50</f>
        <v/>
      </c>
      <c r="E193" s="3" t="str">
        <f>'CSE3'!E50</f>
        <v>Deloitte (Tax)</v>
      </c>
      <c r="F193" s="3" t="str">
        <f>'CSE3'!F50</f>
        <v>7.6 LPA</v>
      </c>
      <c r="G193" s="3" t="str">
        <f>'CSE3'!G50</f>
        <v/>
      </c>
      <c r="H193" s="3" t="str">
        <f>'CSE3'!H50</f>
        <v/>
      </c>
      <c r="I193" s="3" t="str">
        <f>'CSE3'!I50</f>
        <v/>
      </c>
      <c r="J193" s="3" t="str">
        <f>'CSE3'!J50</f>
        <v/>
      </c>
      <c r="K193" s="3" t="str">
        <f>'CSE3'!K50</f>
        <v/>
      </c>
      <c r="L193" s="3" t="str">
        <f>'CSE3'!L50</f>
        <v/>
      </c>
      <c r="M193" s="3" t="str">
        <f>'CSE3'!M50</f>
        <v/>
      </c>
      <c r="N193" s="3" t="str">
        <f>'CSE3'!N50</f>
        <v/>
      </c>
      <c r="O193" s="3" t="str">
        <f>'CSE3'!O50</f>
        <v/>
      </c>
      <c r="P193" s="3" t="str">
        <f>'CSE3'!P50</f>
        <v/>
      </c>
      <c r="Q193" s="3" t="str">
        <f>'CSE3'!Q50</f>
        <v/>
      </c>
      <c r="R193" s="3" t="str">
        <f>'CSE3'!R50</f>
        <v/>
      </c>
      <c r="S193" s="3" t="str">
        <f>'CSE3'!S50</f>
        <v/>
      </c>
      <c r="T193" s="3" t="str">
        <f>'CSE3'!T50</f>
        <v/>
      </c>
      <c r="U193" s="3" t="str">
        <f>'CSE3'!U50</f>
        <v/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4">
        <v>193.0</v>
      </c>
      <c r="B194" s="3">
        <f>'CSE3'!B51</f>
        <v>160118733172</v>
      </c>
      <c r="C194" s="3" t="str">
        <f>'CSE3'!C51</f>
        <v>K Sai Shashank</v>
      </c>
      <c r="D194" s="7" t="str">
        <f>'CSE3'!D51</f>
        <v>YES</v>
      </c>
      <c r="E194" s="3" t="str">
        <f>'CSE3'!E51</f>
        <v>Oracle (FSGBU)</v>
      </c>
      <c r="F194" s="3" t="str">
        <f>'CSE3'!F51</f>
        <v>16.64 LPA</v>
      </c>
      <c r="G194" s="3" t="str">
        <f>'CSE3'!G51</f>
        <v/>
      </c>
      <c r="H194" s="3" t="str">
        <f>'CSE3'!H51</f>
        <v/>
      </c>
      <c r="I194" s="3" t="str">
        <f>'CSE3'!I51</f>
        <v/>
      </c>
      <c r="J194" s="3" t="str">
        <f>'CSE3'!J51</f>
        <v/>
      </c>
      <c r="K194" s="3" t="str">
        <f>'CSE3'!K51</f>
        <v/>
      </c>
      <c r="L194" s="3" t="str">
        <f>'CSE3'!L51</f>
        <v/>
      </c>
      <c r="M194" s="3" t="str">
        <f>'CSE3'!M51</f>
        <v/>
      </c>
      <c r="N194" s="3" t="str">
        <f>'CSE3'!N51</f>
        <v/>
      </c>
      <c r="O194" s="3" t="str">
        <f>'CSE3'!O51</f>
        <v/>
      </c>
      <c r="P194" s="3" t="str">
        <f>'CSE3'!P51</f>
        <v/>
      </c>
      <c r="Q194" s="3" t="str">
        <f>'CSE3'!Q51</f>
        <v/>
      </c>
      <c r="R194" s="3" t="str">
        <f>'CSE3'!R51</f>
        <v/>
      </c>
      <c r="S194" s="3" t="str">
        <f>'CSE3'!S51</f>
        <v/>
      </c>
      <c r="T194" s="3" t="str">
        <f>'CSE3'!T51</f>
        <v/>
      </c>
      <c r="U194" s="3" t="str">
        <f>'CSE3'!U51</f>
        <v/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4">
        <v>194.0</v>
      </c>
      <c r="B195" s="3">
        <f>'CSE3'!B52</f>
        <v>160118733173</v>
      </c>
      <c r="C195" s="3" t="str">
        <f>'CSE3'!C52</f>
        <v>Sai Sumanth Korthiwada</v>
      </c>
      <c r="D195" s="7" t="str">
        <f>'CSE3'!D52</f>
        <v>YES</v>
      </c>
      <c r="E195" s="3" t="str">
        <f>'CSE3'!E52</f>
        <v>Accelerize 360</v>
      </c>
      <c r="F195" s="3" t="str">
        <f>'CSE3'!F52</f>
        <v>7 LPA</v>
      </c>
      <c r="G195" s="3" t="str">
        <f>'CSE3'!G52</f>
        <v>MathWorks</v>
      </c>
      <c r="H195" s="3" t="str">
        <f>'CSE3'!H52</f>
        <v>15 LPA</v>
      </c>
      <c r="I195" s="3" t="str">
        <f>'CSE3'!I52</f>
        <v/>
      </c>
      <c r="J195" s="3" t="str">
        <f>'CSE3'!J52</f>
        <v/>
      </c>
      <c r="K195" s="3" t="str">
        <f>'CSE3'!K52</f>
        <v/>
      </c>
      <c r="L195" s="3" t="str">
        <f>'CSE3'!L52</f>
        <v/>
      </c>
      <c r="M195" s="3" t="str">
        <f>'CSE3'!M52</f>
        <v/>
      </c>
      <c r="N195" s="3" t="str">
        <f>'CSE3'!N52</f>
        <v/>
      </c>
      <c r="O195" s="3" t="str">
        <f>'CSE3'!O52</f>
        <v/>
      </c>
      <c r="P195" s="3" t="str">
        <f>'CSE3'!P52</f>
        <v/>
      </c>
      <c r="Q195" s="3" t="str">
        <f>'CSE3'!Q52</f>
        <v/>
      </c>
      <c r="R195" s="3" t="str">
        <f>'CSE3'!R52</f>
        <v/>
      </c>
      <c r="S195" s="3" t="str">
        <f>'CSE3'!S52</f>
        <v/>
      </c>
      <c r="T195" s="3" t="str">
        <f>'CSE3'!T52</f>
        <v/>
      </c>
      <c r="U195" s="3" t="str">
        <f>'CSE3'!U52</f>
        <v/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4">
        <v>195.0</v>
      </c>
      <c r="B196" s="3">
        <f>'CSE3'!B53</f>
        <v>160118733174</v>
      </c>
      <c r="C196" s="3" t="str">
        <f>'CSE3'!C53</f>
        <v>Shrikar Reddy Kota</v>
      </c>
      <c r="D196" s="7" t="str">
        <f>'CSE3'!D53</f>
        <v/>
      </c>
      <c r="E196" s="3" t="str">
        <f>'CSE3'!E53</f>
        <v>Deloitte (Consulting)</v>
      </c>
      <c r="F196" s="3" t="str">
        <f>'CSE3'!F53</f>
        <v>7.6 LPA</v>
      </c>
      <c r="G196" s="3" t="str">
        <f>'CSE3'!G53</f>
        <v>Barclays</v>
      </c>
      <c r="H196" s="3" t="str">
        <f>'CSE3'!H53</f>
        <v>12.73 LPA</v>
      </c>
      <c r="I196" s="3" t="str">
        <f>'CSE3'!I53</f>
        <v/>
      </c>
      <c r="J196" s="3" t="str">
        <f>'CSE3'!J53</f>
        <v/>
      </c>
      <c r="K196" s="3" t="str">
        <f>'CSE3'!K53</f>
        <v/>
      </c>
      <c r="L196" s="3" t="str">
        <f>'CSE3'!L53</f>
        <v/>
      </c>
      <c r="M196" s="3" t="str">
        <f>'CSE3'!M53</f>
        <v/>
      </c>
      <c r="N196" s="3" t="str">
        <f>'CSE3'!N53</f>
        <v/>
      </c>
      <c r="O196" s="3" t="str">
        <f>'CSE3'!O53</f>
        <v/>
      </c>
      <c r="P196" s="3" t="str">
        <f>'CSE3'!P53</f>
        <v/>
      </c>
      <c r="Q196" s="3" t="str">
        <f>'CSE3'!Q53</f>
        <v/>
      </c>
      <c r="R196" s="3" t="str">
        <f>'CSE3'!R53</f>
        <v/>
      </c>
      <c r="S196" s="3" t="str">
        <f>'CSE3'!S53</f>
        <v/>
      </c>
      <c r="T196" s="3" t="str">
        <f>'CSE3'!T53</f>
        <v/>
      </c>
      <c r="U196" s="3" t="str">
        <f>'CSE3'!U53</f>
        <v/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4">
        <v>196.0</v>
      </c>
      <c r="B197" s="3">
        <f>'CSE3'!B54</f>
        <v>160118733175</v>
      </c>
      <c r="C197" s="3" t="str">
        <f>'CSE3'!C54</f>
        <v>Sidharth Sitimalle</v>
      </c>
      <c r="D197" s="7" t="str">
        <f>'CSE3'!D54</f>
        <v>YES</v>
      </c>
      <c r="E197" s="3" t="str">
        <f>'CSE3'!E54</f>
        <v>Infosys (SE)</v>
      </c>
      <c r="F197" s="3" t="str">
        <f>'CSE3'!F54</f>
        <v>3.6 LPA</v>
      </c>
      <c r="G197" s="3" t="str">
        <f>'CSE3'!G54</f>
        <v>Head Digital Works</v>
      </c>
      <c r="H197" s="3" t="str">
        <f>'CSE3'!H54</f>
        <v>12 LPA</v>
      </c>
      <c r="I197" s="3" t="str">
        <f>'CSE3'!I54</f>
        <v/>
      </c>
      <c r="J197" s="3" t="str">
        <f>'CSE3'!J54</f>
        <v/>
      </c>
      <c r="K197" s="3" t="str">
        <f>'CSE3'!K54</f>
        <v/>
      </c>
      <c r="L197" s="3" t="str">
        <f>'CSE3'!L54</f>
        <v/>
      </c>
      <c r="M197" s="3" t="str">
        <f>'CSE3'!M54</f>
        <v/>
      </c>
      <c r="N197" s="3" t="str">
        <f>'CSE3'!N54</f>
        <v/>
      </c>
      <c r="O197" s="3" t="str">
        <f>'CSE3'!O54</f>
        <v/>
      </c>
      <c r="P197" s="3" t="str">
        <f>'CSE3'!P54</f>
        <v/>
      </c>
      <c r="Q197" s="3" t="str">
        <f>'CSE3'!Q54</f>
        <v/>
      </c>
      <c r="R197" s="3" t="str">
        <f>'CSE3'!R54</f>
        <v/>
      </c>
      <c r="S197" s="3" t="str">
        <f>'CSE3'!S54</f>
        <v/>
      </c>
      <c r="T197" s="3" t="str">
        <f>'CSE3'!T54</f>
        <v/>
      </c>
      <c r="U197" s="3" t="str">
        <f>'CSE3'!U54</f>
        <v/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4">
        <v>197.0</v>
      </c>
      <c r="B198" s="3">
        <f>'CSE3'!B55</f>
        <v>160118733176</v>
      </c>
      <c r="C198" s="3" t="str">
        <f>'CSE3'!C55</f>
        <v>Srinath</v>
      </c>
      <c r="D198" s="7" t="str">
        <f>'CSE3'!D55</f>
        <v/>
      </c>
      <c r="E198" s="3" t="str">
        <f>'CSE3'!E55</f>
        <v/>
      </c>
      <c r="F198" s="3" t="str">
        <f>'CSE3'!F55</f>
        <v/>
      </c>
      <c r="G198" s="3" t="str">
        <f>'CSE3'!G55</f>
        <v/>
      </c>
      <c r="H198" s="3" t="str">
        <f>'CSE3'!H55</f>
        <v/>
      </c>
      <c r="I198" s="3" t="str">
        <f>'CSE3'!I55</f>
        <v/>
      </c>
      <c r="J198" s="3" t="str">
        <f>'CSE3'!J55</f>
        <v/>
      </c>
      <c r="K198" s="3" t="str">
        <f>'CSE3'!K55</f>
        <v/>
      </c>
      <c r="L198" s="3" t="str">
        <f>'CSE3'!L55</f>
        <v/>
      </c>
      <c r="M198" s="3" t="str">
        <f>'CSE3'!M55</f>
        <v/>
      </c>
      <c r="N198" s="3" t="str">
        <f>'CSE3'!N55</f>
        <v/>
      </c>
      <c r="O198" s="3" t="str">
        <f>'CSE3'!O55</f>
        <v/>
      </c>
      <c r="P198" s="3" t="str">
        <f>'CSE3'!P55</f>
        <v/>
      </c>
      <c r="Q198" s="3" t="str">
        <f>'CSE3'!Q55</f>
        <v/>
      </c>
      <c r="R198" s="3" t="str">
        <f>'CSE3'!R55</f>
        <v/>
      </c>
      <c r="S198" s="3" t="str">
        <f>'CSE3'!S55</f>
        <v/>
      </c>
      <c r="T198" s="3" t="str">
        <f>'CSE3'!T55</f>
        <v/>
      </c>
      <c r="U198" s="3" t="str">
        <f>'CSE3'!U55</f>
        <v/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4">
        <v>198.0</v>
      </c>
      <c r="B199" s="3">
        <f>'CSE3'!B56</f>
        <v>160118733177</v>
      </c>
      <c r="C199" s="3" t="str">
        <f>'CSE3'!C56</f>
        <v>Perumandla Srivatsava</v>
      </c>
      <c r="D199" s="7" t="str">
        <f>'CSE3'!D56</f>
        <v/>
      </c>
      <c r="E199" s="3" t="str">
        <f>'CSE3'!E56</f>
        <v/>
      </c>
      <c r="F199" s="3" t="str">
        <f>'CSE3'!F56</f>
        <v/>
      </c>
      <c r="G199" s="3" t="str">
        <f>'CSE3'!G56</f>
        <v/>
      </c>
      <c r="H199" s="3" t="str">
        <f>'CSE3'!H56</f>
        <v/>
      </c>
      <c r="I199" s="3" t="str">
        <f>'CSE3'!I56</f>
        <v/>
      </c>
      <c r="J199" s="3" t="str">
        <f>'CSE3'!J56</f>
        <v/>
      </c>
      <c r="K199" s="3" t="str">
        <f>'CSE3'!K56</f>
        <v/>
      </c>
      <c r="L199" s="3" t="str">
        <f>'CSE3'!L56</f>
        <v/>
      </c>
      <c r="M199" s="3" t="str">
        <f>'CSE3'!M56</f>
        <v/>
      </c>
      <c r="N199" s="3" t="str">
        <f>'CSE3'!N56</f>
        <v/>
      </c>
      <c r="O199" s="3" t="str">
        <f>'CSE3'!O56</f>
        <v/>
      </c>
      <c r="P199" s="3" t="str">
        <f>'CSE3'!P56</f>
        <v/>
      </c>
      <c r="Q199" s="3" t="str">
        <f>'CSE3'!Q56</f>
        <v/>
      </c>
      <c r="R199" s="3" t="str">
        <f>'CSE3'!R56</f>
        <v/>
      </c>
      <c r="S199" s="3" t="str">
        <f>'CSE3'!S56</f>
        <v/>
      </c>
      <c r="T199" s="3" t="str">
        <f>'CSE3'!T56</f>
        <v/>
      </c>
      <c r="U199" s="3" t="str">
        <f>'CSE3'!U56</f>
        <v/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4">
        <v>199.0</v>
      </c>
      <c r="B200" s="3">
        <f>'CSE3'!B57</f>
        <v>160118733178</v>
      </c>
      <c r="C200" s="3" t="str">
        <f>'CSE3'!C57</f>
        <v>Vijay Donkena</v>
      </c>
      <c r="D200" s="7" t="str">
        <f>'CSE3'!D57</f>
        <v>YES</v>
      </c>
      <c r="E200" s="3" t="str">
        <f>'CSE3'!E57</f>
        <v>Deloitte (Tax)</v>
      </c>
      <c r="F200" s="3" t="str">
        <f>'CSE3'!F57</f>
        <v>7.6 LPA</v>
      </c>
      <c r="G200" s="3" t="str">
        <f>'CSE3'!G57</f>
        <v>Infosys (DSE)</v>
      </c>
      <c r="H200" s="3" t="str">
        <f>'CSE3'!H57</f>
        <v>6.25 LPA</v>
      </c>
      <c r="I200" s="3" t="str">
        <f>'CSE3'!I57</f>
        <v>Cognizant GenC</v>
      </c>
      <c r="J200" s="3" t="str">
        <f>'CSE3'!J57</f>
        <v>4 LPA</v>
      </c>
      <c r="K200" s="3" t="str">
        <f>'CSE3'!K57</f>
        <v>CareAllianz</v>
      </c>
      <c r="L200" s="3" t="str">
        <f>'CSE3'!L57</f>
        <v>11 LPA</v>
      </c>
      <c r="M200" s="3" t="str">
        <f>'CSE3'!M57</f>
        <v/>
      </c>
      <c r="N200" s="3" t="str">
        <f>'CSE3'!N57</f>
        <v/>
      </c>
      <c r="O200" s="3" t="str">
        <f>'CSE3'!O57</f>
        <v/>
      </c>
      <c r="P200" s="3" t="str">
        <f>'CSE3'!P57</f>
        <v/>
      </c>
      <c r="Q200" s="3" t="str">
        <f>'CSE3'!Q57</f>
        <v/>
      </c>
      <c r="R200" s="3" t="str">
        <f>'CSE3'!R57</f>
        <v/>
      </c>
      <c r="S200" s="3" t="str">
        <f>'CSE3'!S57</f>
        <v/>
      </c>
      <c r="T200" s="3" t="str">
        <f>'CSE3'!T57</f>
        <v/>
      </c>
      <c r="U200" s="3" t="str">
        <f>'CSE3'!U57</f>
        <v/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4">
        <v>200.0</v>
      </c>
      <c r="B201" s="3">
        <f>'CSE3'!B58</f>
        <v>160118733179</v>
      </c>
      <c r="C201" s="3" t="str">
        <f>'CSE3'!C58</f>
        <v>Yashwanth Thimmareddy Reddy</v>
      </c>
      <c r="D201" s="7" t="str">
        <f>'CSE3'!D58</f>
        <v/>
      </c>
      <c r="E201" s="3" t="str">
        <f>'CSE3'!E58</f>
        <v/>
      </c>
      <c r="F201" s="3" t="str">
        <f>'CSE3'!F58</f>
        <v/>
      </c>
      <c r="G201" s="3" t="str">
        <f>'CSE3'!G58</f>
        <v/>
      </c>
      <c r="H201" s="3" t="str">
        <f>'CSE3'!H58</f>
        <v/>
      </c>
      <c r="I201" s="3" t="str">
        <f>'CSE3'!I58</f>
        <v/>
      </c>
      <c r="J201" s="3" t="str">
        <f>'CSE3'!J58</f>
        <v/>
      </c>
      <c r="K201" s="3" t="str">
        <f>'CSE3'!K58</f>
        <v/>
      </c>
      <c r="L201" s="3" t="str">
        <f>'CSE3'!L58</f>
        <v/>
      </c>
      <c r="M201" s="3" t="str">
        <f>'CSE3'!M58</f>
        <v/>
      </c>
      <c r="N201" s="3" t="str">
        <f>'CSE3'!N58</f>
        <v/>
      </c>
      <c r="O201" s="3" t="str">
        <f>'CSE3'!O58</f>
        <v/>
      </c>
      <c r="P201" s="3" t="str">
        <f>'CSE3'!P58</f>
        <v/>
      </c>
      <c r="Q201" s="3" t="str">
        <f>'CSE3'!Q58</f>
        <v/>
      </c>
      <c r="R201" s="3" t="str">
        <f>'CSE3'!R58</f>
        <v/>
      </c>
      <c r="S201" s="3" t="str">
        <f>'CSE3'!S58</f>
        <v/>
      </c>
      <c r="T201" s="3" t="str">
        <f>'CSE3'!T58</f>
        <v/>
      </c>
      <c r="U201" s="3" t="str">
        <f>'CSE3'!U58</f>
        <v/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4">
        <v>201.0</v>
      </c>
      <c r="B202" s="3">
        <f>'CSE3'!B59</f>
        <v>160118733180</v>
      </c>
      <c r="C202" s="3" t="str">
        <f>'CSE3'!C59</f>
        <v>Yashwanth Reddy Vadde</v>
      </c>
      <c r="D202" s="7" t="str">
        <f>'CSE3'!D59</f>
        <v>YES</v>
      </c>
      <c r="E202" s="3" t="str">
        <f>'CSE3'!E59</f>
        <v>Juspay (Internship Off Campus)</v>
      </c>
      <c r="F202" s="3" t="str">
        <f>'CSE3'!F59</f>
        <v>30K</v>
      </c>
      <c r="G202" s="3" t="str">
        <f>'CSE3'!G59</f>
        <v>Darwin Box (Internship)</v>
      </c>
      <c r="H202" s="3" t="str">
        <f>'CSE3'!H59</f>
        <v>25K</v>
      </c>
      <c r="I202" s="3" t="str">
        <f>'CSE3'!I59</f>
        <v/>
      </c>
      <c r="J202" s="3" t="str">
        <f>'CSE3'!J59</f>
        <v/>
      </c>
      <c r="K202" s="3" t="str">
        <f>'CSE3'!K59</f>
        <v/>
      </c>
      <c r="L202" s="3" t="str">
        <f>'CSE3'!L59</f>
        <v/>
      </c>
      <c r="M202" s="3" t="str">
        <f>'CSE3'!M59</f>
        <v/>
      </c>
      <c r="N202" s="3" t="str">
        <f>'CSE3'!N59</f>
        <v/>
      </c>
      <c r="O202" s="3" t="str">
        <f>'CSE3'!O59</f>
        <v/>
      </c>
      <c r="P202" s="3" t="str">
        <f>'CSE3'!P59</f>
        <v/>
      </c>
      <c r="Q202" s="3" t="str">
        <f>'CSE3'!Q59</f>
        <v/>
      </c>
      <c r="R202" s="3" t="str">
        <f>'CSE3'!R59</f>
        <v/>
      </c>
      <c r="S202" s="3" t="str">
        <f>'CSE3'!S59</f>
        <v/>
      </c>
      <c r="T202" s="3" t="str">
        <f>'CSE3'!T59</f>
        <v/>
      </c>
      <c r="U202" s="3" t="str">
        <f>'CSE3'!U59</f>
        <v/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4">
        <v>202.0</v>
      </c>
      <c r="B203" s="3">
        <f>'CSE3'!B60</f>
        <v>160118733185</v>
      </c>
      <c r="C203" s="3" t="str">
        <f>'CSE3'!C60</f>
        <v>Paras Phull</v>
      </c>
      <c r="D203" s="7" t="str">
        <f>'CSE3'!D60</f>
        <v>YES</v>
      </c>
      <c r="E203" s="3" t="str">
        <f>'CSE3'!E60</f>
        <v>JPMC </v>
      </c>
      <c r="F203" s="3" t="str">
        <f>'CSE3'!F60</f>
        <v>14 LPA</v>
      </c>
      <c r="G203" s="3" t="str">
        <f>'CSE3'!G60</f>
        <v>Deloitte (Tax PPO)</v>
      </c>
      <c r="H203" s="3" t="str">
        <f>'CSE3'!H60</f>
        <v>7.6 LPA</v>
      </c>
      <c r="I203" s="3" t="str">
        <f>'CSE3'!I60</f>
        <v>Infosys (SE)</v>
      </c>
      <c r="J203" s="3" t="str">
        <f>'CSE3'!J60</f>
        <v>3.6 LPA</v>
      </c>
      <c r="K203" s="3" t="str">
        <f>'CSE3'!K60</f>
        <v/>
      </c>
      <c r="L203" s="3" t="str">
        <f>'CSE3'!L60</f>
        <v/>
      </c>
      <c r="M203" s="3" t="str">
        <f>'CSE3'!M60</f>
        <v/>
      </c>
      <c r="N203" s="3" t="str">
        <f>'CSE3'!N60</f>
        <v/>
      </c>
      <c r="O203" s="3" t="str">
        <f>'CSE3'!O60</f>
        <v/>
      </c>
      <c r="P203" s="3" t="str">
        <f>'CSE3'!P60</f>
        <v/>
      </c>
      <c r="Q203" s="3" t="str">
        <f>'CSE3'!Q60</f>
        <v/>
      </c>
      <c r="R203" s="3" t="str">
        <f>'CSE3'!R60</f>
        <v/>
      </c>
      <c r="S203" s="3" t="str">
        <f>'CSE3'!S60</f>
        <v/>
      </c>
      <c r="T203" s="3" t="str">
        <f>'CSE3'!T60</f>
        <v/>
      </c>
      <c r="U203" s="3" t="str">
        <f>'CSE3'!U60</f>
        <v/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4">
        <v>203.0</v>
      </c>
      <c r="B204" s="3">
        <f>'CSE3'!B61</f>
        <v>160118733186</v>
      </c>
      <c r="C204" s="3" t="str">
        <f>'CSE3'!C61</f>
        <v>Arjun Singh Thakur</v>
      </c>
      <c r="D204" s="7" t="str">
        <f>'CSE3'!D61</f>
        <v>YES</v>
      </c>
      <c r="E204" s="3" t="str">
        <f>'CSE3'!E61</f>
        <v>Accenture (ASE)</v>
      </c>
      <c r="F204" s="3" t="str">
        <f>'CSE3'!F61</f>
        <v>4.5 LPA</v>
      </c>
      <c r="G204" s="3" t="str">
        <f>'CSE3'!G61</f>
        <v>Cognizant GenC</v>
      </c>
      <c r="H204" s="3" t="str">
        <f>'CSE3'!H61</f>
        <v>4 LPA</v>
      </c>
      <c r="I204" s="3" t="str">
        <f>'CSE3'!I61</f>
        <v>Capgemini (Sr Analyst)</v>
      </c>
      <c r="J204" s="3" t="str">
        <f>'CSE3'!J61</f>
        <v>7.5 LPA</v>
      </c>
      <c r="K204" s="3" t="str">
        <f>'CSE3'!K61</f>
        <v>Next Education</v>
      </c>
      <c r="L204" s="3" t="str">
        <f>'CSE3'!L61</f>
        <v>6 LPA</v>
      </c>
      <c r="M204" s="3" t="str">
        <f>'CSE3'!M61</f>
        <v/>
      </c>
      <c r="N204" s="3" t="str">
        <f>'CSE3'!N61</f>
        <v/>
      </c>
      <c r="O204" s="3" t="str">
        <f>'CSE3'!O61</f>
        <v/>
      </c>
      <c r="P204" s="3" t="str">
        <f>'CSE3'!P61</f>
        <v/>
      </c>
      <c r="Q204" s="3" t="str">
        <f>'CSE3'!Q61</f>
        <v/>
      </c>
      <c r="R204" s="3" t="str">
        <f>'CSE3'!R61</f>
        <v/>
      </c>
      <c r="S204" s="3" t="str">
        <f>'CSE3'!S61</f>
        <v/>
      </c>
      <c r="T204" s="3" t="str">
        <f>'CSE3'!T61</f>
        <v/>
      </c>
      <c r="U204" s="3" t="str">
        <f>'CSE3'!U61</f>
        <v/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4">
        <v>204.0</v>
      </c>
      <c r="B205" s="3">
        <f>'CSE3'!B62</f>
        <v>160118733313</v>
      </c>
      <c r="C205" s="3" t="str">
        <f>'CSE3'!C62</f>
        <v>Gopi Laya Rao</v>
      </c>
      <c r="D205" s="7" t="str">
        <f>'CSE3'!D62</f>
        <v>YES</v>
      </c>
      <c r="E205" s="3" t="str">
        <f>'CSE3'!E62</f>
        <v>Capgemini (Analyst)</v>
      </c>
      <c r="F205" s="3" t="str">
        <f>'CSE3'!F62</f>
        <v>4 LPA</v>
      </c>
      <c r="G205" s="3" t="str">
        <f>'CSE3'!G62</f>
        <v>Wipro</v>
      </c>
      <c r="H205" s="3" t="str">
        <f>'CSE3'!H62</f>
        <v>3.5 LPA</v>
      </c>
      <c r="I205" s="3" t="str">
        <f>'CSE3'!I62</f>
        <v>Collins Aerospace (Internship)</v>
      </c>
      <c r="J205" s="3" t="str">
        <f>'CSE3'!J62</f>
        <v>6.25 LPA</v>
      </c>
      <c r="K205" s="3" t="str">
        <f>'CSE3'!K62</f>
        <v>Ford Motors</v>
      </c>
      <c r="L205" s="3" t="str">
        <f>'CSE3'!L62</f>
        <v>5.7 LPA</v>
      </c>
      <c r="M205" s="3" t="str">
        <f>'CSE3'!M62</f>
        <v>DBS</v>
      </c>
      <c r="N205" s="3" t="str">
        <f>'CSE3'!N62</f>
        <v>8.5 LPA</v>
      </c>
      <c r="O205" s="3" t="str">
        <f>'CSE3'!O62</f>
        <v>MTX</v>
      </c>
      <c r="P205" s="3" t="str">
        <f>'CSE3'!P62</f>
        <v>10.4 LPA</v>
      </c>
      <c r="Q205" s="3" t="str">
        <f>'CSE3'!Q62</f>
        <v/>
      </c>
      <c r="R205" s="3" t="str">
        <f>'CSE3'!R62</f>
        <v/>
      </c>
      <c r="S205" s="3" t="str">
        <f>'CSE3'!S62</f>
        <v/>
      </c>
      <c r="T205" s="3" t="str">
        <f>'CSE3'!T62</f>
        <v/>
      </c>
      <c r="U205" s="3" t="str">
        <f>'CSE3'!U62</f>
        <v/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4">
        <v>205.0</v>
      </c>
      <c r="B206" s="3">
        <f>'CSE3'!B63</f>
        <v>160118733314</v>
      </c>
      <c r="C206" s="3" t="str">
        <f>'CSE3'!C63</f>
        <v>Geetha Rachha</v>
      </c>
      <c r="D206" s="7" t="str">
        <f>'CSE3'!D63</f>
        <v>YES</v>
      </c>
      <c r="E206" s="3" t="str">
        <f>'CSE3'!E63</f>
        <v>Accenture (ASE)</v>
      </c>
      <c r="F206" s="3" t="str">
        <f>'CSE3'!F63</f>
        <v>4.5 LPA</v>
      </c>
      <c r="G206" s="3" t="str">
        <f>'CSE3'!G63</f>
        <v>LTI (Level 1)</v>
      </c>
      <c r="H206" s="3" t="str">
        <f>'CSE3'!H63</f>
        <v>5 LPA</v>
      </c>
      <c r="I206" s="3" t="str">
        <f>'CSE3'!I63</f>
        <v>Cognizant GenC</v>
      </c>
      <c r="J206" s="3" t="str">
        <f>'CSE3'!J63</f>
        <v>4 LPA</v>
      </c>
      <c r="K206" s="3" t="str">
        <f>'CSE3'!K63</f>
        <v>Wipro</v>
      </c>
      <c r="L206" s="3" t="str">
        <f>'CSE3'!L63</f>
        <v>3.5 LPA</v>
      </c>
      <c r="M206" s="3" t="str">
        <f>'CSE3'!M63</f>
        <v>DBS</v>
      </c>
      <c r="N206" s="3" t="str">
        <f>'CSE3'!N63</f>
        <v>8.5 LPA</v>
      </c>
      <c r="O206" s="3" t="str">
        <f>'CSE3'!O63</f>
        <v/>
      </c>
      <c r="P206" s="3" t="str">
        <f>'CSE3'!P63</f>
        <v/>
      </c>
      <c r="Q206" s="3" t="str">
        <f>'CSE3'!Q63</f>
        <v/>
      </c>
      <c r="R206" s="3" t="str">
        <f>'CSE3'!R63</f>
        <v/>
      </c>
      <c r="S206" s="3" t="str">
        <f>'CSE3'!S63</f>
        <v/>
      </c>
      <c r="T206" s="3" t="str">
        <f>'CSE3'!T63</f>
        <v/>
      </c>
      <c r="U206" s="3" t="str">
        <f>'CSE3'!U63</f>
        <v/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4">
        <v>206.0</v>
      </c>
      <c r="B207" s="3">
        <f>'CSE3'!B64</f>
        <v>160118733315</v>
      </c>
      <c r="C207" s="3" t="str">
        <f>'CSE3'!C64</f>
        <v>Varsha oggu</v>
      </c>
      <c r="D207" s="7" t="str">
        <f>'CSE3'!D64</f>
        <v>YES</v>
      </c>
      <c r="E207" s="3" t="str">
        <f>'CSE3'!E64</f>
        <v>JPMC </v>
      </c>
      <c r="F207" s="3" t="str">
        <f>'CSE3'!F64</f>
        <v>14 LPA</v>
      </c>
      <c r="G207" s="3" t="str">
        <f>'CSE3'!G64</f>
        <v>Infosys (DSE)</v>
      </c>
      <c r="H207" s="3" t="str">
        <f>'CSE3'!H64</f>
        <v>6.25 LPA</v>
      </c>
      <c r="I207" s="3" t="str">
        <f>'CSE3'!I64</f>
        <v/>
      </c>
      <c r="J207" s="3" t="str">
        <f>'CSE3'!J64</f>
        <v/>
      </c>
      <c r="K207" s="3" t="str">
        <f>'CSE3'!K64</f>
        <v/>
      </c>
      <c r="L207" s="3" t="str">
        <f>'CSE3'!L64</f>
        <v/>
      </c>
      <c r="M207" s="3" t="str">
        <f>'CSE3'!M64</f>
        <v/>
      </c>
      <c r="N207" s="3" t="str">
        <f>'CSE3'!N64</f>
        <v/>
      </c>
      <c r="O207" s="3" t="str">
        <f>'CSE3'!O64</f>
        <v/>
      </c>
      <c r="P207" s="3" t="str">
        <f>'CSE3'!P64</f>
        <v/>
      </c>
      <c r="Q207" s="3" t="str">
        <f>'CSE3'!Q64</f>
        <v/>
      </c>
      <c r="R207" s="3" t="str">
        <f>'CSE3'!R64</f>
        <v/>
      </c>
      <c r="S207" s="3" t="str">
        <f>'CSE3'!S64</f>
        <v/>
      </c>
      <c r="T207" s="3" t="str">
        <f>'CSE3'!T64</f>
        <v/>
      </c>
      <c r="U207" s="3" t="str">
        <f>'CSE3'!U64</f>
        <v/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4">
        <v>207.0</v>
      </c>
      <c r="B208" s="3">
        <f>'CSE3'!B65</f>
        <v>160118733316</v>
      </c>
      <c r="C208" s="3" t="str">
        <f>'CSE3'!C65</f>
        <v>Sneha Kedari</v>
      </c>
      <c r="D208" s="7" t="str">
        <f>'CSE3'!D65</f>
        <v/>
      </c>
      <c r="E208" s="3" t="str">
        <f>'CSE3'!E65</f>
        <v>TCS</v>
      </c>
      <c r="F208" s="3" t="str">
        <f>'CSE3'!F65</f>
        <v>3.8 LPA</v>
      </c>
      <c r="G208" s="3" t="str">
        <f>'CSE3'!G65</f>
        <v/>
      </c>
      <c r="H208" s="3" t="str">
        <f>'CSE3'!H65</f>
        <v/>
      </c>
      <c r="I208" s="3" t="str">
        <f>'CSE3'!I65</f>
        <v/>
      </c>
      <c r="J208" s="3" t="str">
        <f>'CSE3'!J65</f>
        <v/>
      </c>
      <c r="K208" s="3" t="str">
        <f>'CSE3'!K65</f>
        <v/>
      </c>
      <c r="L208" s="3" t="str">
        <f>'CSE3'!L65</f>
        <v/>
      </c>
      <c r="M208" s="3" t="str">
        <f>'CSE3'!M65</f>
        <v/>
      </c>
      <c r="N208" s="3" t="str">
        <f>'CSE3'!N65</f>
        <v/>
      </c>
      <c r="O208" s="3" t="str">
        <f>'CSE3'!O65</f>
        <v/>
      </c>
      <c r="P208" s="3" t="str">
        <f>'CSE3'!P65</f>
        <v/>
      </c>
      <c r="Q208" s="3" t="str">
        <f>'CSE3'!Q65</f>
        <v/>
      </c>
      <c r="R208" s="3" t="str">
        <f>'CSE3'!R65</f>
        <v/>
      </c>
      <c r="S208" s="3" t="str">
        <f>'CSE3'!S65</f>
        <v/>
      </c>
      <c r="T208" s="3" t="str">
        <f>'CSE3'!T65</f>
        <v/>
      </c>
      <c r="U208" s="3" t="str">
        <f>'CSE3'!U65</f>
        <v/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4">
        <v>208.0</v>
      </c>
      <c r="B209" s="3">
        <f>'CSE3'!B66</f>
        <v>160118733317</v>
      </c>
      <c r="C209" s="3" t="str">
        <f>'CSE3'!C66</f>
        <v>Rudra Rachana</v>
      </c>
      <c r="D209" s="7" t="str">
        <f>'CSE3'!D66</f>
        <v>YES</v>
      </c>
      <c r="E209" s="3" t="str">
        <f>'CSE3'!E66</f>
        <v>Cognizant GenC</v>
      </c>
      <c r="F209" s="3" t="str">
        <f>'CSE3'!F66</f>
        <v>4 LPA</v>
      </c>
      <c r="G209" s="3" t="str">
        <f>'CSE3'!G66</f>
        <v/>
      </c>
      <c r="H209" s="3" t="str">
        <f>'CSE3'!H66</f>
        <v/>
      </c>
      <c r="I209" s="3" t="str">
        <f>'CSE3'!I66</f>
        <v/>
      </c>
      <c r="J209" s="3" t="str">
        <f>'CSE3'!J66</f>
        <v/>
      </c>
      <c r="K209" s="3" t="str">
        <f>'CSE3'!K66</f>
        <v/>
      </c>
      <c r="L209" s="3" t="str">
        <f>'CSE3'!L66</f>
        <v/>
      </c>
      <c r="M209" s="3" t="str">
        <f>'CSE3'!M66</f>
        <v/>
      </c>
      <c r="N209" s="3" t="str">
        <f>'CSE3'!N66</f>
        <v/>
      </c>
      <c r="O209" s="3" t="str">
        <f>'CSE3'!O66</f>
        <v/>
      </c>
      <c r="P209" s="3" t="str">
        <f>'CSE3'!P66</f>
        <v/>
      </c>
      <c r="Q209" s="3" t="str">
        <f>'CSE3'!Q66</f>
        <v/>
      </c>
      <c r="R209" s="3" t="str">
        <f>'CSE3'!R66</f>
        <v/>
      </c>
      <c r="S209" s="3" t="str">
        <f>'CSE3'!S66</f>
        <v/>
      </c>
      <c r="T209" s="3" t="str">
        <f>'CSE3'!T66</f>
        <v/>
      </c>
      <c r="U209" s="3" t="str">
        <f>'CSE3'!U66</f>
        <v/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4">
        <v>209.0</v>
      </c>
      <c r="B210" s="3">
        <f>'CSE3'!B67</f>
        <v>160118733318</v>
      </c>
      <c r="C210" s="3" t="str">
        <f>'CSE3'!C67</f>
        <v>Dhanavath Pavan</v>
      </c>
      <c r="D210" s="7" t="str">
        <f>'CSE3'!D67</f>
        <v/>
      </c>
      <c r="E210" s="3" t="str">
        <f>'CSE3'!E67</f>
        <v>MindTree (Off Campus)</v>
      </c>
      <c r="F210" s="3" t="str">
        <f>'CSE3'!F67</f>
        <v>4 LPA</v>
      </c>
      <c r="G210" s="3" t="str">
        <f>'CSE3'!G67</f>
        <v/>
      </c>
      <c r="H210" s="3" t="str">
        <f>'CSE3'!H67</f>
        <v/>
      </c>
      <c r="I210" s="3" t="str">
        <f>'CSE3'!I67</f>
        <v/>
      </c>
      <c r="J210" s="3" t="str">
        <f>'CSE3'!J67</f>
        <v/>
      </c>
      <c r="K210" s="3" t="str">
        <f>'CSE3'!K67</f>
        <v/>
      </c>
      <c r="L210" s="3" t="str">
        <f>'CSE3'!L67</f>
        <v/>
      </c>
      <c r="M210" s="3" t="str">
        <f>'CSE3'!M67</f>
        <v/>
      </c>
      <c r="N210" s="3" t="str">
        <f>'CSE3'!N67</f>
        <v/>
      </c>
      <c r="O210" s="3" t="str">
        <f>'CSE3'!O67</f>
        <v/>
      </c>
      <c r="P210" s="3" t="str">
        <f>'CSE3'!P67</f>
        <v/>
      </c>
      <c r="Q210" s="3" t="str">
        <f>'CSE3'!Q67</f>
        <v/>
      </c>
      <c r="R210" s="3" t="str">
        <f>'CSE3'!R67</f>
        <v/>
      </c>
      <c r="S210" s="3" t="str">
        <f>'CSE3'!S67</f>
        <v/>
      </c>
      <c r="T210" s="3" t="str">
        <f>'CSE3'!T67</f>
        <v/>
      </c>
      <c r="U210" s="3" t="str">
        <f>'CSE3'!U67</f>
        <v/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4">
        <v>210.0</v>
      </c>
      <c r="B211" s="3">
        <f>'CSE3'!B68</f>
        <v>160117733335</v>
      </c>
      <c r="C211" s="3" t="str">
        <f>'CSE3'!C68</f>
        <v>Lakkampelly Lahari</v>
      </c>
      <c r="D211" s="7" t="str">
        <f>'CSE3'!D68</f>
        <v/>
      </c>
      <c r="E211" s="3" t="str">
        <f>'CSE3'!E68</f>
        <v/>
      </c>
      <c r="F211" s="3" t="str">
        <f>'CSE3'!F68</f>
        <v/>
      </c>
      <c r="G211" s="3" t="str">
        <f>'CSE3'!G68</f>
        <v/>
      </c>
      <c r="H211" s="3" t="str">
        <f>'CSE3'!H68</f>
        <v/>
      </c>
      <c r="I211" s="3" t="str">
        <f>'CSE3'!I68</f>
        <v/>
      </c>
      <c r="J211" s="3" t="str">
        <f>'CSE3'!J68</f>
        <v/>
      </c>
      <c r="K211" s="3" t="str">
        <f>'CSE3'!K68</f>
        <v/>
      </c>
      <c r="L211" s="3" t="str">
        <f>'CSE3'!L68</f>
        <v/>
      </c>
      <c r="M211" s="3" t="str">
        <f>'CSE3'!M68</f>
        <v/>
      </c>
      <c r="N211" s="3" t="str">
        <f>'CSE3'!N68</f>
        <v/>
      </c>
      <c r="O211" s="3" t="str">
        <f>'CSE3'!O68</f>
        <v/>
      </c>
      <c r="P211" s="3" t="str">
        <f>'CSE3'!P68</f>
        <v/>
      </c>
      <c r="Q211" s="3" t="str">
        <f>'CSE3'!Q68</f>
        <v/>
      </c>
      <c r="R211" s="3" t="str">
        <f>'CSE3'!R68</f>
        <v/>
      </c>
      <c r="S211" s="3" t="str">
        <f>'CSE3'!S68</f>
        <v/>
      </c>
      <c r="T211" s="3" t="str">
        <f>'CSE3'!T68</f>
        <v/>
      </c>
      <c r="U211" s="3" t="str">
        <f>'CSE3'!U68</f>
        <v/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4">
        <v>211.0</v>
      </c>
      <c r="B212" s="3">
        <f>'CSE3'!B69</f>
        <v>160117733168</v>
      </c>
      <c r="C212" s="3" t="str">
        <f>'CSE3'!C69</f>
        <v>Malavath Sairoshan</v>
      </c>
      <c r="D212" s="7" t="str">
        <f>'CSE3'!D69</f>
        <v/>
      </c>
      <c r="E212" s="3" t="str">
        <f>'CSE3'!E69</f>
        <v/>
      </c>
      <c r="F212" s="3" t="str">
        <f>'CSE3'!F69</f>
        <v/>
      </c>
      <c r="G212" s="3" t="str">
        <f>'CSE3'!G69</f>
        <v/>
      </c>
      <c r="H212" s="3" t="str">
        <f>'CSE3'!H69</f>
        <v/>
      </c>
      <c r="I212" s="3" t="str">
        <f>'CSE3'!I69</f>
        <v/>
      </c>
      <c r="J212" s="3" t="str">
        <f>'CSE3'!J69</f>
        <v/>
      </c>
      <c r="K212" s="3" t="str">
        <f>'CSE3'!K69</f>
        <v/>
      </c>
      <c r="L212" s="3" t="str">
        <f>'CSE3'!L69</f>
        <v/>
      </c>
      <c r="M212" s="3" t="str">
        <f>'CSE3'!M69</f>
        <v/>
      </c>
      <c r="N212" s="3" t="str">
        <f>'CSE3'!N69</f>
        <v/>
      </c>
      <c r="O212" s="3" t="str">
        <f>'CSE3'!O69</f>
        <v/>
      </c>
      <c r="P212" s="3" t="str">
        <f>'CSE3'!P69</f>
        <v/>
      </c>
      <c r="Q212" s="3" t="str">
        <f>'CSE3'!Q69</f>
        <v/>
      </c>
      <c r="R212" s="3" t="str">
        <f>'CSE3'!R69</f>
        <v/>
      </c>
      <c r="S212" s="3" t="str">
        <f>'CSE3'!S69</f>
        <v/>
      </c>
      <c r="T212" s="3" t="str">
        <f>'CSE3'!T69</f>
        <v/>
      </c>
      <c r="U212" s="3" t="str">
        <f>'CSE3'!U69</f>
        <v/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4">
        <v>212.0</v>
      </c>
      <c r="B213" s="3">
        <f>'CSE3'!B70</f>
        <v>160117733177</v>
      </c>
      <c r="C213" s="3" t="str">
        <f>'CSE3'!C70</f>
        <v>Suhas reddy janke</v>
      </c>
      <c r="D213" s="7" t="str">
        <f>'CSE3'!D70</f>
        <v/>
      </c>
      <c r="E213" s="3" t="str">
        <f>'CSE3'!E70</f>
        <v/>
      </c>
      <c r="F213" s="3" t="str">
        <f>'CSE3'!F70</f>
        <v/>
      </c>
      <c r="G213" s="3" t="str">
        <f>'CSE3'!G70</f>
        <v/>
      </c>
      <c r="H213" s="3" t="str">
        <f>'CSE3'!H70</f>
        <v/>
      </c>
      <c r="I213" s="3" t="str">
        <f>'CSE3'!I70</f>
        <v/>
      </c>
      <c r="J213" s="3" t="str">
        <f>'CSE3'!J70</f>
        <v/>
      </c>
      <c r="K213" s="3" t="str">
        <f>'CSE3'!K70</f>
        <v/>
      </c>
      <c r="L213" s="3" t="str">
        <f>'CSE3'!L70</f>
        <v/>
      </c>
      <c r="M213" s="3" t="str">
        <f>'CSE3'!M70</f>
        <v/>
      </c>
      <c r="N213" s="3" t="str">
        <f>'CSE3'!N70</f>
        <v/>
      </c>
      <c r="O213" s="3" t="str">
        <f>'CSE3'!O70</f>
        <v/>
      </c>
      <c r="P213" s="3" t="str">
        <f>'CSE3'!P70</f>
        <v/>
      </c>
      <c r="Q213" s="3" t="str">
        <f>'CSE3'!Q70</f>
        <v/>
      </c>
      <c r="R213" s="3" t="str">
        <f>'CSE3'!R70</f>
        <v/>
      </c>
      <c r="S213" s="3" t="str">
        <f>'CSE3'!S70</f>
        <v/>
      </c>
      <c r="T213" s="3" t="str">
        <f>'CSE3'!T70</f>
        <v/>
      </c>
      <c r="U213" s="3" t="str">
        <f>'CSE3'!U70</f>
        <v/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4">
        <v>213.0</v>
      </c>
      <c r="B214" s="3" t="str">
        <f>'CSE3'!B71</f>
        <v/>
      </c>
      <c r="C214" s="3" t="str">
        <f>'CSE3'!C71</f>
        <v/>
      </c>
      <c r="D214" s="7" t="str">
        <f>'CSE3'!D71</f>
        <v/>
      </c>
      <c r="E214" s="3" t="str">
        <f>'CSE3'!E71</f>
        <v/>
      </c>
      <c r="F214" s="3" t="str">
        <f>'CSE3'!F71</f>
        <v/>
      </c>
      <c r="G214" s="3" t="str">
        <f>'CSE3'!G71</f>
        <v/>
      </c>
      <c r="H214" s="3" t="str">
        <f>'CSE3'!H71</f>
        <v/>
      </c>
      <c r="I214" s="3" t="str">
        <f>'CSE3'!I71</f>
        <v/>
      </c>
      <c r="J214" s="3" t="str">
        <f>'CSE3'!J71</f>
        <v/>
      </c>
      <c r="K214" s="3" t="str">
        <f>'CSE3'!K71</f>
        <v/>
      </c>
      <c r="L214" s="3" t="str">
        <f>'CSE3'!L71</f>
        <v/>
      </c>
      <c r="M214" s="3" t="str">
        <f>'CSE3'!M71</f>
        <v/>
      </c>
      <c r="N214" s="3" t="str">
        <f>'CSE3'!N71</f>
        <v/>
      </c>
      <c r="O214" s="3" t="str">
        <f>'CSE3'!O71</f>
        <v/>
      </c>
      <c r="P214" s="3" t="str">
        <f>'CSE3'!P71</f>
        <v/>
      </c>
      <c r="Q214" s="3" t="str">
        <f>'CSE3'!Q71</f>
        <v/>
      </c>
      <c r="R214" s="3" t="str">
        <f>'CSE3'!R71</f>
        <v/>
      </c>
      <c r="S214" s="3" t="str">
        <f>'CSE3'!S71</f>
        <v/>
      </c>
      <c r="T214" s="3" t="str">
        <f>'CSE3'!T71</f>
        <v/>
      </c>
      <c r="U214" s="3" t="str">
        <f>'CSE3'!U71</f>
        <v/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4">
        <v>214.0</v>
      </c>
      <c r="B215" s="3" t="str">
        <f>'CSE3'!B72</f>
        <v/>
      </c>
      <c r="C215" s="3" t="str">
        <f>'CSE3'!C72</f>
        <v>Total Number of Students Placed</v>
      </c>
      <c r="D215" s="7">
        <f>'CSE3'!D72</f>
        <v>57</v>
      </c>
      <c r="E215" s="3" t="str">
        <f>'CSE3'!E72</f>
        <v/>
      </c>
      <c r="F215" s="3" t="str">
        <f>'CSE3'!F72</f>
        <v/>
      </c>
      <c r="G215" s="3" t="str">
        <f>'CSE3'!G72</f>
        <v/>
      </c>
      <c r="H215" s="3" t="str">
        <f>'CSE3'!H72</f>
        <v/>
      </c>
      <c r="I215" s="3" t="str">
        <f>'CSE3'!I72</f>
        <v/>
      </c>
      <c r="J215" s="3" t="str">
        <f>'CSE3'!J72</f>
        <v/>
      </c>
      <c r="K215" s="3" t="str">
        <f>'CSE3'!K72</f>
        <v/>
      </c>
      <c r="L215" s="3" t="str">
        <f>'CSE3'!L72</f>
        <v/>
      </c>
      <c r="M215" s="3" t="str">
        <f>'CSE3'!M72</f>
        <v/>
      </c>
      <c r="N215" s="3" t="str">
        <f>'CSE3'!N72</f>
        <v/>
      </c>
      <c r="O215" s="3" t="str">
        <f>'CSE3'!O72</f>
        <v/>
      </c>
      <c r="P215" s="3" t="str">
        <f>'CSE3'!P72</f>
        <v/>
      </c>
      <c r="Q215" s="3" t="str">
        <f>'CSE3'!Q72</f>
        <v/>
      </c>
      <c r="R215" s="3" t="str">
        <f>'CSE3'!R72</f>
        <v/>
      </c>
      <c r="S215" s="3" t="str">
        <f>'CSE3'!S72</f>
        <v/>
      </c>
      <c r="T215" s="3" t="str">
        <f>'CSE3'!T72</f>
        <v/>
      </c>
      <c r="U215" s="3" t="str">
        <f>'CSE3'!U72</f>
        <v/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1.38"/>
    <col customWidth="1" min="3" max="3" width="34.75"/>
    <col customWidth="1" min="4" max="4" width="11.88"/>
    <col customWidth="1" hidden="1" min="5" max="5" width="21.5"/>
    <col customWidth="1" hidden="1" min="6" max="6" width="10.13"/>
    <col customWidth="1" hidden="1" min="7" max="7" width="20.88"/>
    <col customWidth="1" hidden="1" min="8" max="8" width="19.63"/>
    <col customWidth="1" hidden="1" min="9" max="9" width="21.25"/>
    <col customWidth="1" hidden="1" min="10" max="10" width="8.63"/>
    <col customWidth="1" hidden="1" min="11" max="11" width="20.13"/>
    <col customWidth="1" hidden="1" min="12" max="12" width="7.75"/>
    <col customWidth="1" hidden="1" min="13" max="13" width="18.5"/>
    <col customWidth="1" hidden="1" min="14" max="14" width="7.75"/>
    <col customWidth="1" hidden="1" min="15" max="15" width="21.63"/>
    <col customWidth="1" hidden="1" min="16" max="16" width="11.5"/>
    <col customWidth="1" hidden="1" min="17" max="17" width="21.38"/>
    <col customWidth="1" hidden="1" min="18" max="18" width="7.75"/>
    <col customWidth="1" hidden="1" min="19" max="19" width="20.13"/>
    <col customWidth="1" hidden="1" min="20" max="21" width="19.13"/>
    <col customWidth="1" hidden="1" min="22" max="22" width="14.25"/>
    <col customWidth="1" min="23" max="23" width="14.38"/>
  </cols>
  <sheetData>
    <row r="1">
      <c r="A1" s="10" t="s">
        <v>17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5</v>
      </c>
      <c r="I1" s="11" t="s">
        <v>7</v>
      </c>
      <c r="J1" s="11" t="s">
        <v>5</v>
      </c>
      <c r="K1" s="11" t="s">
        <v>8</v>
      </c>
      <c r="L1" s="11" t="s">
        <v>5</v>
      </c>
      <c r="M1" s="11" t="s">
        <v>9</v>
      </c>
      <c r="N1" s="11" t="s">
        <v>5</v>
      </c>
      <c r="O1" s="11" t="s">
        <v>10</v>
      </c>
      <c r="P1" s="11" t="s">
        <v>5</v>
      </c>
      <c r="Q1" s="11" t="s">
        <v>11</v>
      </c>
      <c r="R1" s="11" t="s">
        <v>5</v>
      </c>
      <c r="S1" s="11" t="s">
        <v>12</v>
      </c>
      <c r="T1" s="11" t="s">
        <v>5</v>
      </c>
      <c r="U1" s="11" t="s">
        <v>13</v>
      </c>
      <c r="V1" s="11" t="s">
        <v>5</v>
      </c>
      <c r="W1" s="11" t="s">
        <v>18</v>
      </c>
      <c r="X1" s="12" t="s">
        <v>19</v>
      </c>
    </row>
    <row r="2">
      <c r="A2" s="13">
        <v>1.0</v>
      </c>
      <c r="B2" s="13">
        <v>1.60118733001E11</v>
      </c>
      <c r="C2" s="14" t="s">
        <v>20</v>
      </c>
      <c r="D2" s="15" t="s">
        <v>21</v>
      </c>
      <c r="E2" s="14" t="s">
        <v>22</v>
      </c>
      <c r="F2" s="16" t="s">
        <v>23</v>
      </c>
      <c r="G2" s="14" t="s">
        <v>24</v>
      </c>
      <c r="H2" s="16" t="s">
        <v>25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>
        <f>IFERROR(__xludf.DUMMYFUNCTION("MAX(VALUE(IF(REGEXMATCH($F2, "" ""), LEFT($F2, (FIND("" "", $F2, 1) - 1)), 0)), VALUE(IF(REGEXMATCH($H2, "" ""), LEFT($H2, (FIND("" "", $H2, 1) - 1)), 0)), VALUE(IF(REGEXMATCH($J2, "" ""), LEFT($J2, (FIND("" "", $J2, 1) - 1)), 0)), VALUE(IF(REGEXMATCH($L2"&amp;", "" ""), LEFT($L2, (FIND("" "", $L2, 1) - 1)), 0)), VALUE(IF(REGEXMATCH($N2, "" ""), LEFT($N2, (FIND("" "", $N2, 1) - 1)), 0)), VALUE(IF(REGEXMATCH($P2, "" ""), LEFT($P2, (FIND("" "", $P2, 1) - 1)), 0)), VALUE(IF(REGEXMATCH($R2, "" ""), LEFT($R2, (FIND("&amp;""" "", $R2, 1) - 1)), 0)), VALUE(IF(REGEXMATCH($T2, "" ""), LEFT($T2, (FIND("" "", $T2, 1) - 1)), 0)), VALUE(IF(REGEXMATCH($V2, "" ""), LEFT($V2, (FIND("" "", $V2, 1) - 1)), 0)))"),9.08)</f>
        <v>9.08</v>
      </c>
      <c r="X2" s="17">
        <f t="shared" ref="X2:X70" si="1">$W2*1.25</f>
        <v>11.35</v>
      </c>
    </row>
    <row r="3">
      <c r="A3" s="13">
        <v>2.0</v>
      </c>
      <c r="B3" s="13">
        <v>1.60118733002E11</v>
      </c>
      <c r="C3" s="14" t="s">
        <v>26</v>
      </c>
      <c r="D3" s="15"/>
      <c r="E3" s="14" t="s">
        <v>27</v>
      </c>
      <c r="F3" s="14" t="s">
        <v>28</v>
      </c>
      <c r="G3" s="14" t="s">
        <v>29</v>
      </c>
      <c r="H3" s="14" t="s">
        <v>30</v>
      </c>
      <c r="I3" s="14" t="s">
        <v>31</v>
      </c>
      <c r="J3" s="14" t="s">
        <v>32</v>
      </c>
      <c r="K3" s="16" t="s">
        <v>33</v>
      </c>
      <c r="L3" s="16" t="s">
        <v>34</v>
      </c>
      <c r="M3" s="18" t="s">
        <v>35</v>
      </c>
      <c r="N3" s="18" t="s">
        <v>36</v>
      </c>
      <c r="O3" s="16"/>
      <c r="P3" s="16"/>
      <c r="Q3" s="16"/>
      <c r="R3" s="16"/>
      <c r="S3" s="16"/>
      <c r="T3" s="16"/>
      <c r="U3" s="16"/>
      <c r="V3" s="16"/>
      <c r="W3" s="17">
        <f>IFERROR(__xludf.DUMMYFUNCTION("MAX(VALUE(IF(REGEXMATCH($F3, "" ""), LEFT($F3, (FIND("" "", $F3, 1) - 1)), 0)), VALUE(IF(REGEXMATCH($H3, "" ""), LEFT($H3, (FIND("" "", $H3, 1) - 1)), 0)), VALUE(IF(REGEXMATCH($J3, "" ""), LEFT($J3, (FIND("" "", $J3, 1) - 1)), 0)), VALUE(IF(REGEXMATCH($L3"&amp;", "" ""), LEFT($L3, (FIND("" "", $L3, 1) - 1)), 0)), VALUE(IF(REGEXMATCH($N3, "" ""), LEFT($N3, (FIND("" "", $N3, 1) - 1)), 0)), VALUE(IF(REGEXMATCH($P3, "" ""), LEFT($P3, (FIND("" "", $P3, 1) - 1)), 0)), VALUE(IF(REGEXMATCH($R3, "" ""), LEFT($R3, (FIND("&amp;""" "", $R3, 1) - 1)), 0)), VALUE(IF(REGEXMATCH($T3, "" ""), LEFT($T3, (FIND("" "", $T3, 1) - 1)), 0)), VALUE(IF(REGEXMATCH($V3, "" ""), LEFT($V3, (FIND("" "", $V3, 1) - 1)), 0)))"),8.5)</f>
        <v>8.5</v>
      </c>
      <c r="X3" s="17">
        <f t="shared" si="1"/>
        <v>10.625</v>
      </c>
    </row>
    <row r="4">
      <c r="A4" s="13">
        <v>3.0</v>
      </c>
      <c r="B4" s="13">
        <v>1.60118733003E11</v>
      </c>
      <c r="C4" s="14" t="s">
        <v>37</v>
      </c>
      <c r="D4" s="15"/>
      <c r="E4" s="14" t="s">
        <v>38</v>
      </c>
      <c r="F4" s="14" t="s">
        <v>39</v>
      </c>
      <c r="G4" s="16" t="s">
        <v>33</v>
      </c>
      <c r="H4" s="16" t="s">
        <v>34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>
        <f>IFERROR(__xludf.DUMMYFUNCTION("MAX(VALUE(IF(REGEXMATCH($F4, "" ""), LEFT($F4, (FIND("" "", $F4, 1) - 1)), 0)), VALUE(IF(REGEXMATCH($H4, "" ""), LEFT($H4, (FIND("" "", $H4, 1) - 1)), 0)), VALUE(IF(REGEXMATCH($J4, "" ""), LEFT($J4, (FIND("" "", $J4, 1) - 1)), 0)), VALUE(IF(REGEXMATCH($L4"&amp;", "" ""), LEFT($L4, (FIND("" "", $L4, 1) - 1)), 0)), VALUE(IF(REGEXMATCH($N4, "" ""), LEFT($N4, (FIND("" "", $N4, 1) - 1)), 0)), VALUE(IF(REGEXMATCH($P4, "" ""), LEFT($P4, (FIND("" "", $P4, 1) - 1)), 0)), VALUE(IF(REGEXMATCH($R4, "" ""), LEFT($R4, (FIND("&amp;""" "", $R4, 1) - 1)), 0)), VALUE(IF(REGEXMATCH($T4, "" ""), LEFT($T4, (FIND("" "", $T4, 1) - 1)), 0)), VALUE(IF(REGEXMATCH($V4, "" ""), LEFT($V4, (FIND("" "", $V4, 1) - 1)), 0)))"),5.0)</f>
        <v>5</v>
      </c>
      <c r="X4" s="17">
        <f t="shared" si="1"/>
        <v>6.25</v>
      </c>
    </row>
    <row r="5">
      <c r="A5" s="13">
        <v>4.0</v>
      </c>
      <c r="B5" s="13">
        <v>1.60118733004E11</v>
      </c>
      <c r="C5" s="14" t="s">
        <v>40</v>
      </c>
      <c r="D5" s="15" t="s">
        <v>21</v>
      </c>
      <c r="E5" s="14" t="s">
        <v>41</v>
      </c>
      <c r="F5" s="16" t="s">
        <v>42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7">
        <f>IFERROR(__xludf.DUMMYFUNCTION("MAX(VALUE(IF(REGEXMATCH($F5, "" ""), LEFT($F5, (FIND("" "", $F5, 1) - 1)), 0)), VALUE(IF(REGEXMATCH($H5, "" ""), LEFT($H5, (FIND("" "", $H5, 1) - 1)), 0)), VALUE(IF(REGEXMATCH($J5, "" ""), LEFT($J5, (FIND("" "", $J5, 1) - 1)), 0)), VALUE(IF(REGEXMATCH($L5"&amp;", "" ""), LEFT($L5, (FIND("" "", $L5, 1) - 1)), 0)), VALUE(IF(REGEXMATCH($N5, "" ""), LEFT($N5, (FIND("" "", $N5, 1) - 1)), 0)), VALUE(IF(REGEXMATCH($P5, "" ""), LEFT($P5, (FIND("" "", $P5, 1) - 1)), 0)), VALUE(IF(REGEXMATCH($R5, "" ""), LEFT($R5, (FIND("&amp;""" "", $R5, 1) - 1)), 0)), VALUE(IF(REGEXMATCH($T5, "" ""), LEFT($T5, (FIND("" "", $T5, 1) - 1)), 0)), VALUE(IF(REGEXMATCH($V5, "" ""), LEFT($V5, (FIND("" "", $V5, 1) - 1)), 0)))"),14.0)</f>
        <v>14</v>
      </c>
      <c r="X5" s="17">
        <f t="shared" si="1"/>
        <v>17.5</v>
      </c>
    </row>
    <row r="6">
      <c r="A6" s="13">
        <v>5.0</v>
      </c>
      <c r="B6" s="13">
        <v>1.60118733005E11</v>
      </c>
      <c r="C6" s="14" t="s">
        <v>43</v>
      </c>
      <c r="D6" s="15" t="s">
        <v>21</v>
      </c>
      <c r="E6" s="14" t="s">
        <v>44</v>
      </c>
      <c r="F6" s="14" t="s">
        <v>42</v>
      </c>
      <c r="G6" s="14" t="s">
        <v>45</v>
      </c>
      <c r="H6" s="16" t="s">
        <v>46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>
        <f>IFERROR(__xludf.DUMMYFUNCTION("MAX(VALUE(IF(REGEXMATCH($F6, "" ""), LEFT($F6, (FIND("" "", $F6, 1) - 1)), 0)), VALUE(IF(REGEXMATCH($H6, "" ""), LEFT($H6, (FIND("" "", $H6, 1) - 1)), 0)), VALUE(IF(REGEXMATCH($J6, "" ""), LEFT($J6, (FIND("" "", $J6, 1) - 1)), 0)), VALUE(IF(REGEXMATCH($L6"&amp;", "" ""), LEFT($L6, (FIND("" "", $L6, 1) - 1)), 0)), VALUE(IF(REGEXMATCH($N6, "" ""), LEFT($N6, (FIND("" "", $N6, 1) - 1)), 0)), VALUE(IF(REGEXMATCH($P6, "" ""), LEFT($P6, (FIND("" "", $P6, 1) - 1)), 0)), VALUE(IF(REGEXMATCH($R6, "" ""), LEFT($R6, (FIND("&amp;""" "", $R6, 1) - 1)), 0)), VALUE(IF(REGEXMATCH($T6, "" ""), LEFT($T6, (FIND("" "", $T6, 1) - 1)), 0)), VALUE(IF(REGEXMATCH($V6, "" ""), LEFT($V6, (FIND("" "", $V6, 1) - 1)), 0)))"),14.0)</f>
        <v>14</v>
      </c>
      <c r="X6" s="17">
        <f t="shared" si="1"/>
        <v>17.5</v>
      </c>
    </row>
    <row r="7">
      <c r="A7" s="13">
        <v>6.0</v>
      </c>
      <c r="B7" s="13">
        <v>1.60118733006E11</v>
      </c>
      <c r="C7" s="14" t="s">
        <v>47</v>
      </c>
      <c r="D7" s="15" t="s">
        <v>21</v>
      </c>
      <c r="E7" s="14" t="s">
        <v>48</v>
      </c>
      <c r="F7" s="14" t="s">
        <v>25</v>
      </c>
      <c r="G7" s="14" t="s">
        <v>49</v>
      </c>
      <c r="H7" s="16" t="s">
        <v>30</v>
      </c>
      <c r="I7" s="18" t="s">
        <v>50</v>
      </c>
      <c r="J7" s="18" t="s">
        <v>51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>
        <f>IFERROR(__xludf.DUMMYFUNCTION("MAX(VALUE(IF(REGEXMATCH($F7, "" ""), LEFT($F7, (FIND("" "", $F7, 1) - 1)), 0)), VALUE(IF(REGEXMATCH($H7, "" ""), LEFT($H7, (FIND("" "", $H7, 1) - 1)), 0)), VALUE(IF(REGEXMATCH($J7, "" ""), LEFT($J7, (FIND("" "", $J7, 1) - 1)), 0)), VALUE(IF(REGEXMATCH($L7"&amp;", "" ""), LEFT($L7, (FIND("" "", $L7, 1) - 1)), 0)), VALUE(IF(REGEXMATCH($N7, "" ""), LEFT($N7, (FIND("" "", $N7, 1) - 1)), 0)), VALUE(IF(REGEXMATCH($P7, "" ""), LEFT($P7, (FIND("" "", $P7, 1) - 1)), 0)), VALUE(IF(REGEXMATCH($R7, "" ""), LEFT($R7, (FIND("&amp;""" "", $R7, 1) - 1)), 0)), VALUE(IF(REGEXMATCH($T7, "" ""), LEFT($T7, (FIND("" "", $T7, 1) - 1)), 0)), VALUE(IF(REGEXMATCH($V7, "" ""), LEFT($V7, (FIND("" "", $V7, 1) - 1)), 0)))"),10.4)</f>
        <v>10.4</v>
      </c>
      <c r="X7" s="17">
        <f t="shared" si="1"/>
        <v>13</v>
      </c>
    </row>
    <row r="8">
      <c r="A8" s="13">
        <v>7.0</v>
      </c>
      <c r="B8" s="13">
        <v>1.60118733007E11</v>
      </c>
      <c r="C8" s="14" t="s">
        <v>52</v>
      </c>
      <c r="D8" s="15" t="s">
        <v>21</v>
      </c>
      <c r="E8" s="14" t="s">
        <v>53</v>
      </c>
      <c r="F8" s="16" t="s">
        <v>54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>
        <f>IFERROR(__xludf.DUMMYFUNCTION("MAX(VALUE(IF(REGEXMATCH($F8, "" ""), LEFT($F8, (FIND("" "", $F8, 1) - 1)), 0)), VALUE(IF(REGEXMATCH($H8, "" ""), LEFT($H8, (FIND("" "", $H8, 1) - 1)), 0)), VALUE(IF(REGEXMATCH($J8, "" ""), LEFT($J8, (FIND("" "", $J8, 1) - 1)), 0)), VALUE(IF(REGEXMATCH($L8"&amp;", "" ""), LEFT($L8, (FIND("" "", $L8, 1) - 1)), 0)), VALUE(IF(REGEXMATCH($N8, "" ""), LEFT($N8, (FIND("" "", $N8, 1) - 1)), 0)), VALUE(IF(REGEXMATCH($P8, "" ""), LEFT($P8, (FIND("" "", $P8, 1) - 1)), 0)), VALUE(IF(REGEXMATCH($R8, "" ""), LEFT($R8, (FIND("&amp;""" "", $R8, 1) - 1)), 0)), VALUE(IF(REGEXMATCH($T8, "" ""), LEFT($T8, (FIND("" "", $T8, 1) - 1)), 0)), VALUE(IF(REGEXMATCH($V8, "" ""), LEFT($V8, (FIND("" "", $V8, 1) - 1)), 0)))"),8.1)</f>
        <v>8.1</v>
      </c>
      <c r="X8" s="17">
        <f t="shared" si="1"/>
        <v>10.125</v>
      </c>
    </row>
    <row r="9">
      <c r="A9" s="13">
        <v>8.0</v>
      </c>
      <c r="B9" s="13">
        <v>1.60118733008E11</v>
      </c>
      <c r="C9" s="14" t="s">
        <v>55</v>
      </c>
      <c r="D9" s="15" t="s">
        <v>21</v>
      </c>
      <c r="E9" s="14" t="s">
        <v>38</v>
      </c>
      <c r="F9" s="14" t="s">
        <v>39</v>
      </c>
      <c r="G9" s="16" t="s">
        <v>33</v>
      </c>
      <c r="H9" s="14" t="s">
        <v>34</v>
      </c>
      <c r="I9" s="14" t="s">
        <v>56</v>
      </c>
      <c r="J9" s="14" t="s">
        <v>57</v>
      </c>
      <c r="K9" s="14" t="s">
        <v>22</v>
      </c>
      <c r="L9" s="16" t="s">
        <v>23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7">
        <f>IFERROR(__xludf.DUMMYFUNCTION("MAX(VALUE(IF(REGEXMATCH($F9, "" ""), LEFT($F9, (FIND("" "", $F9, 1) - 1)), 0)), VALUE(IF(REGEXMATCH($H9, "" ""), LEFT($H9, (FIND("" "", $H9, 1) - 1)), 0)), VALUE(IF(REGEXMATCH($J9, "" ""), LEFT($J9, (FIND("" "", $J9, 1) - 1)), 0)), VALUE(IF(REGEXMATCH($L9"&amp;", "" ""), LEFT($L9, (FIND("" "", $L9, 1) - 1)), 0)), VALUE(IF(REGEXMATCH($N9, "" ""), LEFT($N9, (FIND("" "", $N9, 1) - 1)), 0)), VALUE(IF(REGEXMATCH($P9, "" ""), LEFT($P9, (FIND("" "", $P9, 1) - 1)), 0)), VALUE(IF(REGEXMATCH($R9, "" ""), LEFT($R9, (FIND("&amp;""" "", $R9, 1) - 1)), 0)), VALUE(IF(REGEXMATCH($T9, "" ""), LEFT($T9, (FIND("" "", $T9, 1) - 1)), 0)), VALUE(IF(REGEXMATCH($V9, "" ""), LEFT($V9, (FIND("" "", $V9, 1) - 1)), 0)))"),9.08)</f>
        <v>9.08</v>
      </c>
      <c r="X9" s="17">
        <f t="shared" si="1"/>
        <v>11.35</v>
      </c>
    </row>
    <row r="10">
      <c r="A10" s="13">
        <v>9.0</v>
      </c>
      <c r="B10" s="13">
        <v>1.60118733009E11</v>
      </c>
      <c r="C10" s="14" t="s">
        <v>58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>
        <f>IFERROR(__xludf.DUMMYFUNCTION("MAX(VALUE(IF(REGEXMATCH($F10, "" ""), LEFT($F10, (FIND("" "", $F10, 1) - 1)), 0)), VALUE(IF(REGEXMATCH($H10, "" ""), LEFT($H10, (FIND("" "", $H10, 1) - 1)), 0)), VALUE(IF(REGEXMATCH($J10, "" ""), LEFT($J10, (FIND("" "", $J10, 1) - 1)), 0)), VALUE(IF(REGEX"&amp;"MATCH($L10, "" ""), LEFT($L10, (FIND("" "", $L10, 1) - 1)), 0)), VALUE(IF(REGEXMATCH($N10, "" ""), LEFT($N10, (FIND("" "", $N10, 1) - 1)), 0)), VALUE(IF(REGEXMATCH($P10, "" ""), LEFT($P10, (FIND("" "", $P10, 1) - 1)), 0)), VALUE(IF(REGEXMATCH($R10, "" "")"&amp;", LEFT($R10, (FIND("" "", $R10, 1) - 1)), 0)), VALUE(IF(REGEXMATCH($T10, "" ""), LEFT($T10, (FIND("" "", $T10, 1) - 1)), 0)), VALUE(IF(REGEXMATCH($V10, "" ""), LEFT($V10, (FIND("" "", $V10, 1) - 1)), 0)))"),0.0)</f>
        <v>0</v>
      </c>
      <c r="X10" s="17">
        <f t="shared" si="1"/>
        <v>0</v>
      </c>
    </row>
    <row r="11">
      <c r="A11" s="13">
        <v>10.0</v>
      </c>
      <c r="B11" s="13">
        <v>1.6011873301E11</v>
      </c>
      <c r="C11" s="14" t="s">
        <v>59</v>
      </c>
      <c r="D11" s="15" t="s">
        <v>21</v>
      </c>
      <c r="E11" s="14" t="s">
        <v>44</v>
      </c>
      <c r="F11" s="16" t="s">
        <v>42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>
        <f>IFERROR(__xludf.DUMMYFUNCTION("MAX(VALUE(IF(REGEXMATCH($F11, "" ""), LEFT($F11, (FIND("" "", $F11, 1) - 1)), 0)), VALUE(IF(REGEXMATCH($H11, "" ""), LEFT($H11, (FIND("" "", $H11, 1) - 1)), 0)), VALUE(IF(REGEXMATCH($J11, "" ""), LEFT($J11, (FIND("" "", $J11, 1) - 1)), 0)), VALUE(IF(REGEX"&amp;"MATCH($L11, "" ""), LEFT($L11, (FIND("" "", $L11, 1) - 1)), 0)), VALUE(IF(REGEXMATCH($N11, "" ""), LEFT($N11, (FIND("" "", $N11, 1) - 1)), 0)), VALUE(IF(REGEXMATCH($P11, "" ""), LEFT($P11, (FIND("" "", $P11, 1) - 1)), 0)), VALUE(IF(REGEXMATCH($R11, "" "")"&amp;", LEFT($R11, (FIND("" "", $R11, 1) - 1)), 0)), VALUE(IF(REGEXMATCH($T11, "" ""), LEFT($T11, (FIND("" "", $T11, 1) - 1)), 0)), VALUE(IF(REGEXMATCH($V11, "" ""), LEFT($V11, (FIND("" "", $V11, 1) - 1)), 0)))"),14.0)</f>
        <v>14</v>
      </c>
      <c r="X11" s="17">
        <f t="shared" si="1"/>
        <v>17.5</v>
      </c>
    </row>
    <row r="12">
      <c r="A12" s="13">
        <v>11.0</v>
      </c>
      <c r="B12" s="13">
        <v>1.60118733011E11</v>
      </c>
      <c r="C12" s="14" t="s">
        <v>60</v>
      </c>
      <c r="D12" s="15" t="s">
        <v>21</v>
      </c>
      <c r="E12" s="14" t="s">
        <v>41</v>
      </c>
      <c r="F12" s="16" t="s">
        <v>42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>
        <f>IFERROR(__xludf.DUMMYFUNCTION("MAX(VALUE(IF(REGEXMATCH($F12, "" ""), LEFT($F12, (FIND("" "", $F12, 1) - 1)), 0)), VALUE(IF(REGEXMATCH($H12, "" ""), LEFT($H12, (FIND("" "", $H12, 1) - 1)), 0)), VALUE(IF(REGEXMATCH($J12, "" ""), LEFT($J12, (FIND("" "", $J12, 1) - 1)), 0)), VALUE(IF(REGEX"&amp;"MATCH($L12, "" ""), LEFT($L12, (FIND("" "", $L12, 1) - 1)), 0)), VALUE(IF(REGEXMATCH($N12, "" ""), LEFT($N12, (FIND("" "", $N12, 1) - 1)), 0)), VALUE(IF(REGEXMATCH($P12, "" ""), LEFT($P12, (FIND("" "", $P12, 1) - 1)), 0)), VALUE(IF(REGEXMATCH($R12, "" "")"&amp;", LEFT($R12, (FIND("" "", $R12, 1) - 1)), 0)), VALUE(IF(REGEXMATCH($T12, "" ""), LEFT($T12, (FIND("" "", $T12, 1) - 1)), 0)), VALUE(IF(REGEXMATCH($V12, "" ""), LEFT($V12, (FIND("" "", $V12, 1) - 1)), 0)))"),14.0)</f>
        <v>14</v>
      </c>
      <c r="X12" s="17">
        <f t="shared" si="1"/>
        <v>17.5</v>
      </c>
    </row>
    <row r="13">
      <c r="A13" s="13">
        <v>12.0</v>
      </c>
      <c r="B13" s="13">
        <v>1.60118733012E11</v>
      </c>
      <c r="C13" s="14" t="s">
        <v>61</v>
      </c>
      <c r="D13" s="15" t="s">
        <v>21</v>
      </c>
      <c r="E13" s="14" t="s">
        <v>41</v>
      </c>
      <c r="F13" s="16" t="s">
        <v>42</v>
      </c>
      <c r="G13" s="18" t="s">
        <v>62</v>
      </c>
      <c r="H13" s="18" t="s">
        <v>14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>
        <f>IFERROR(__xludf.DUMMYFUNCTION("MAX(VALUE(IF(REGEXMATCH($F13, "" ""), LEFT($F13, (FIND("" "", $F13, 1) - 1)), 0)), VALUE(IF(REGEXMATCH($H13, "" ""), LEFT($H13, (FIND("" "", $H13, 1) - 1)), 0)), VALUE(IF(REGEXMATCH($J13, "" ""), LEFT($J13, (FIND("" "", $J13, 1) - 1)), 0)), VALUE(IF(REGEX"&amp;"MATCH($L13, "" ""), LEFT($L13, (FIND("" "", $L13, 1) - 1)), 0)), VALUE(IF(REGEXMATCH($N13, "" ""), LEFT($N13, (FIND("" "", $N13, 1) - 1)), 0)), VALUE(IF(REGEXMATCH($P13, "" ""), LEFT($P13, (FIND("" "", $P13, 1) - 1)), 0)), VALUE(IF(REGEXMATCH($R13, "" "")"&amp;", LEFT($R13, (FIND("" "", $R13, 1) - 1)), 0)), VALUE(IF(REGEXMATCH($T13, "" ""), LEFT($T13, (FIND("" "", $T13, 1) - 1)), 0)), VALUE(IF(REGEXMATCH($V13, "" ""), LEFT($V13, (FIND("" "", $V13, 1) - 1)), 0)))"),23.0)</f>
        <v>23</v>
      </c>
      <c r="X13" s="17">
        <f t="shared" si="1"/>
        <v>28.75</v>
      </c>
    </row>
    <row r="14">
      <c r="A14" s="13">
        <v>13.0</v>
      </c>
      <c r="B14" s="13">
        <v>1.60118733013E11</v>
      </c>
      <c r="C14" s="14" t="s">
        <v>63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>
        <f>IFERROR(__xludf.DUMMYFUNCTION("MAX(VALUE(IF(REGEXMATCH($F14, "" ""), LEFT($F14, (FIND("" "", $F14, 1) - 1)), 0)), VALUE(IF(REGEXMATCH($H14, "" ""), LEFT($H14, (FIND("" "", $H14, 1) - 1)), 0)), VALUE(IF(REGEXMATCH($J14, "" ""), LEFT($J14, (FIND("" "", $J14, 1) - 1)), 0)), VALUE(IF(REGEX"&amp;"MATCH($L14, "" ""), LEFT($L14, (FIND("" "", $L14, 1) - 1)), 0)), VALUE(IF(REGEXMATCH($N14, "" ""), LEFT($N14, (FIND("" "", $N14, 1) - 1)), 0)), VALUE(IF(REGEXMATCH($P14, "" ""), LEFT($P14, (FIND("" "", $P14, 1) - 1)), 0)), VALUE(IF(REGEXMATCH($R14, "" "")"&amp;", LEFT($R14, (FIND("" "", $R14, 1) - 1)), 0)), VALUE(IF(REGEXMATCH($T14, "" ""), LEFT($T14, (FIND("" "", $T14, 1) - 1)), 0)), VALUE(IF(REGEXMATCH($V14, "" ""), LEFT($V14, (FIND("" "", $V14, 1) - 1)), 0)))"),0.0)</f>
        <v>0</v>
      </c>
      <c r="X14" s="17">
        <f t="shared" si="1"/>
        <v>0</v>
      </c>
    </row>
    <row r="15">
      <c r="A15" s="13">
        <v>14.0</v>
      </c>
      <c r="B15" s="13">
        <v>1.60118733014E11</v>
      </c>
      <c r="C15" s="14" t="s">
        <v>64</v>
      </c>
      <c r="D15" s="15" t="s">
        <v>21</v>
      </c>
      <c r="E15" s="14" t="s">
        <v>44</v>
      </c>
      <c r="F15" s="14" t="s">
        <v>42</v>
      </c>
      <c r="G15" s="14" t="s">
        <v>65</v>
      </c>
      <c r="H15" s="16" t="s">
        <v>66</v>
      </c>
      <c r="I15" s="18" t="s">
        <v>62</v>
      </c>
      <c r="J15" s="18" t="s">
        <v>14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>
        <f>IFERROR(__xludf.DUMMYFUNCTION("MAX(VALUE(IF(REGEXMATCH($F15, "" ""), LEFT($F15, (FIND("" "", $F15, 1) - 1)), 0)), VALUE(IF(REGEXMATCH($H15, "" ""), LEFT($H15, (FIND("" "", $H15, 1) - 1)), 0)), VALUE(IF(REGEXMATCH($J15, "" ""), LEFT($J15, (FIND("" "", $J15, 1) - 1)), 0)), VALUE(IF(REGEX"&amp;"MATCH($L15, "" ""), LEFT($L15, (FIND("" "", $L15, 1) - 1)), 0)), VALUE(IF(REGEXMATCH($N15, "" ""), LEFT($N15, (FIND("" "", $N15, 1) - 1)), 0)), VALUE(IF(REGEXMATCH($P15, "" ""), LEFT($P15, (FIND("" "", $P15, 1) - 1)), 0)), VALUE(IF(REGEXMATCH($R15, "" "")"&amp;", LEFT($R15, (FIND("" "", $R15, 1) - 1)), 0)), VALUE(IF(REGEXMATCH($T15, "" ""), LEFT($T15, (FIND("" "", $T15, 1) - 1)), 0)), VALUE(IF(REGEXMATCH($V15, "" ""), LEFT($V15, (FIND("" "", $V15, 1) - 1)), 0)))"),23.0)</f>
        <v>23</v>
      </c>
      <c r="X15" s="17">
        <f t="shared" si="1"/>
        <v>28.75</v>
      </c>
    </row>
    <row r="16">
      <c r="A16" s="13">
        <v>15.0</v>
      </c>
      <c r="B16" s="13">
        <v>1.60118733015E11</v>
      </c>
      <c r="C16" s="14" t="s">
        <v>67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>
        <f>IFERROR(__xludf.DUMMYFUNCTION("MAX(VALUE(IF(REGEXMATCH($F16, "" ""), LEFT($F16, (FIND("" "", $F16, 1) - 1)), 0)), VALUE(IF(REGEXMATCH($H16, "" ""), LEFT($H16, (FIND("" "", $H16, 1) - 1)), 0)), VALUE(IF(REGEXMATCH($J16, "" ""), LEFT($J16, (FIND("" "", $J16, 1) - 1)), 0)), VALUE(IF(REGEX"&amp;"MATCH($L16, "" ""), LEFT($L16, (FIND("" "", $L16, 1) - 1)), 0)), VALUE(IF(REGEXMATCH($N16, "" ""), LEFT($N16, (FIND("" "", $N16, 1) - 1)), 0)), VALUE(IF(REGEXMATCH($P16, "" ""), LEFT($P16, (FIND("" "", $P16, 1) - 1)), 0)), VALUE(IF(REGEXMATCH($R16, "" "")"&amp;", LEFT($R16, (FIND("" "", $R16, 1) - 1)), 0)), VALUE(IF(REGEXMATCH($T16, "" ""), LEFT($T16, (FIND("" "", $T16, 1) - 1)), 0)), VALUE(IF(REGEXMATCH($V16, "" ""), LEFT($V16, (FIND("" "", $V16, 1) - 1)), 0)))"),0.0)</f>
        <v>0</v>
      </c>
      <c r="X16" s="17">
        <f t="shared" si="1"/>
        <v>0</v>
      </c>
    </row>
    <row r="17">
      <c r="A17" s="13">
        <v>16.0</v>
      </c>
      <c r="B17" s="13">
        <v>1.60118733016E11</v>
      </c>
      <c r="C17" s="14" t="s">
        <v>68</v>
      </c>
      <c r="D17" s="15" t="s">
        <v>21</v>
      </c>
      <c r="E17" s="14" t="s">
        <v>27</v>
      </c>
      <c r="F17" s="14" t="s">
        <v>28</v>
      </c>
      <c r="G17" s="14" t="s">
        <v>48</v>
      </c>
      <c r="H17" s="16" t="s">
        <v>25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>
        <f>IFERROR(__xludf.DUMMYFUNCTION("MAX(VALUE(IF(REGEXMATCH($F17, "" ""), LEFT($F17, (FIND("" "", $F17, 1) - 1)), 0)), VALUE(IF(REGEXMATCH($H17, "" ""), LEFT($H17, (FIND("" "", $H17, 1) - 1)), 0)), VALUE(IF(REGEXMATCH($J17, "" ""), LEFT($J17, (FIND("" "", $J17, 1) - 1)), 0)), VALUE(IF(REGEX"&amp;"MATCH($L17, "" ""), LEFT($L17, (FIND("" "", $L17, 1) - 1)), 0)), VALUE(IF(REGEXMATCH($N17, "" ""), LEFT($N17, (FIND("" "", $N17, 1) - 1)), 0)), VALUE(IF(REGEXMATCH($P17, "" ""), LEFT($P17, (FIND("" "", $P17, 1) - 1)), 0)), VALUE(IF(REGEXMATCH($R17, "" "")"&amp;", LEFT($R17, (FIND("" "", $R17, 1) - 1)), 0)), VALUE(IF(REGEXMATCH($T17, "" ""), LEFT($T17, (FIND("" "", $T17, 1) - 1)), 0)), VALUE(IF(REGEXMATCH($V17, "" ""), LEFT($V17, (FIND("" "", $V17, 1) - 1)), 0)))"),4.5)</f>
        <v>4.5</v>
      </c>
      <c r="X17" s="17">
        <f t="shared" si="1"/>
        <v>5.625</v>
      </c>
    </row>
    <row r="18">
      <c r="A18" s="13">
        <v>17.0</v>
      </c>
      <c r="B18" s="13">
        <v>1.60118733017E11</v>
      </c>
      <c r="C18" s="14" t="s">
        <v>69</v>
      </c>
      <c r="D18" s="16"/>
      <c r="E18" s="18" t="s">
        <v>35</v>
      </c>
      <c r="F18" s="18" t="s">
        <v>36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>
        <f>IFERROR(__xludf.DUMMYFUNCTION("MAX(VALUE(IF(REGEXMATCH($F18, "" ""), LEFT($F18, (FIND("" "", $F18, 1) - 1)), 0)), VALUE(IF(REGEXMATCH($H18, "" ""), LEFT($H18, (FIND("" "", $H18, 1) - 1)), 0)), VALUE(IF(REGEXMATCH($J18, "" ""), LEFT($J18, (FIND("" "", $J18, 1) - 1)), 0)), VALUE(IF(REGEX"&amp;"MATCH($L18, "" ""), LEFT($L18, (FIND("" "", $L18, 1) - 1)), 0)), VALUE(IF(REGEXMATCH($N18, "" ""), LEFT($N18, (FIND("" "", $N18, 1) - 1)), 0)), VALUE(IF(REGEXMATCH($P18, "" ""), LEFT($P18, (FIND("" "", $P18, 1) - 1)), 0)), VALUE(IF(REGEXMATCH($R18, "" "")"&amp;", LEFT($R18, (FIND("" "", $R18, 1) - 1)), 0)), VALUE(IF(REGEXMATCH($T18, "" ""), LEFT($T18, (FIND("" "", $T18, 1) - 1)), 0)), VALUE(IF(REGEXMATCH($V18, "" ""), LEFT($V18, (FIND("" "", $V18, 1) - 1)), 0)))"),8.5)</f>
        <v>8.5</v>
      </c>
      <c r="X18" s="17">
        <f t="shared" si="1"/>
        <v>10.625</v>
      </c>
    </row>
    <row r="19">
      <c r="A19" s="13">
        <v>18.0</v>
      </c>
      <c r="B19" s="13">
        <v>1.60118733018E11</v>
      </c>
      <c r="C19" s="14" t="s">
        <v>70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>
        <f>IFERROR(__xludf.DUMMYFUNCTION("MAX(VALUE(IF(REGEXMATCH($F19, "" ""), LEFT($F19, (FIND("" "", $F19, 1) - 1)), 0)), VALUE(IF(REGEXMATCH($H19, "" ""), LEFT($H19, (FIND("" "", $H19, 1) - 1)), 0)), VALUE(IF(REGEXMATCH($J19, "" ""), LEFT($J19, (FIND("" "", $J19, 1) - 1)), 0)), VALUE(IF(REGEX"&amp;"MATCH($L19, "" ""), LEFT($L19, (FIND("" "", $L19, 1) - 1)), 0)), VALUE(IF(REGEXMATCH($N19, "" ""), LEFT($N19, (FIND("" "", $N19, 1) - 1)), 0)), VALUE(IF(REGEXMATCH($P19, "" ""), LEFT($P19, (FIND("" "", $P19, 1) - 1)), 0)), VALUE(IF(REGEXMATCH($R19, "" "")"&amp;", LEFT($R19, (FIND("" "", $R19, 1) - 1)), 0)), VALUE(IF(REGEXMATCH($T19, "" ""), LEFT($T19, (FIND("" "", $T19, 1) - 1)), 0)), VALUE(IF(REGEXMATCH($V19, "" ""), LEFT($V19, (FIND("" "", $V19, 1) - 1)), 0)))"),0.0)</f>
        <v>0</v>
      </c>
      <c r="X19" s="17">
        <f t="shared" si="1"/>
        <v>0</v>
      </c>
    </row>
    <row r="20">
      <c r="A20" s="13">
        <v>19.0</v>
      </c>
      <c r="B20" s="13">
        <v>1.60118733019E11</v>
      </c>
      <c r="C20" s="14" t="s">
        <v>71</v>
      </c>
      <c r="D20" s="15" t="s">
        <v>21</v>
      </c>
      <c r="E20" s="14" t="s">
        <v>72</v>
      </c>
      <c r="F20" s="14" t="s">
        <v>73</v>
      </c>
      <c r="G20" s="14" t="s">
        <v>27</v>
      </c>
      <c r="H20" s="16" t="s">
        <v>28</v>
      </c>
      <c r="I20" s="14" t="s">
        <v>24</v>
      </c>
      <c r="J20" s="14" t="s">
        <v>25</v>
      </c>
      <c r="K20" s="14" t="s">
        <v>74</v>
      </c>
      <c r="L20" s="16" t="s">
        <v>75</v>
      </c>
      <c r="M20" s="18" t="s">
        <v>76</v>
      </c>
      <c r="N20" s="18" t="s">
        <v>77</v>
      </c>
      <c r="O20" s="16"/>
      <c r="P20" s="16"/>
      <c r="Q20" s="16"/>
      <c r="R20" s="16"/>
      <c r="S20" s="16"/>
      <c r="T20" s="16"/>
      <c r="U20" s="16"/>
      <c r="V20" s="16"/>
      <c r="W20" s="17">
        <f>IFERROR(__xludf.DUMMYFUNCTION("MAX(VALUE(IF(REGEXMATCH($F20, "" ""), LEFT($F20, (FIND("" "", $F20, 1) - 1)), 0)), VALUE(IF(REGEXMATCH($H20, "" ""), LEFT($H20, (FIND("" "", $H20, 1) - 1)), 0)), VALUE(IF(REGEXMATCH($J20, "" ""), LEFT($J20, (FIND("" "", $J20, 1) - 1)), 0)), VALUE(IF(REGEX"&amp;"MATCH($L20, "" ""), LEFT($L20, (FIND("" "", $L20, 1) - 1)), 0)), VALUE(IF(REGEXMATCH($N20, "" ""), LEFT($N20, (FIND("" "", $N20, 1) - 1)), 0)), VALUE(IF(REGEXMATCH($P20, "" ""), LEFT($P20, (FIND("" "", $P20, 1) - 1)), 0)), VALUE(IF(REGEXMATCH($R20, "" "")"&amp;", LEFT($R20, (FIND("" "", $R20, 1) - 1)), 0)), VALUE(IF(REGEXMATCH($T20, "" ""), LEFT($T20, (FIND("" "", $T20, 1) - 1)), 0)), VALUE(IF(REGEXMATCH($V20, "" ""), LEFT($V20, (FIND("" "", $V20, 1) - 1)), 0)))"),14.5)</f>
        <v>14.5</v>
      </c>
      <c r="X20" s="17">
        <f t="shared" si="1"/>
        <v>18.125</v>
      </c>
    </row>
    <row r="21">
      <c r="A21" s="13">
        <v>20.0</v>
      </c>
      <c r="B21" s="13">
        <v>1.6011873302E11</v>
      </c>
      <c r="C21" s="14" t="s">
        <v>78</v>
      </c>
      <c r="D21" s="15"/>
      <c r="E21" s="14" t="s">
        <v>79</v>
      </c>
      <c r="F21" s="16" t="s">
        <v>80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>
        <f>IFERROR(__xludf.DUMMYFUNCTION("MAX(VALUE(IF(REGEXMATCH($F21, "" ""), LEFT($F21, (FIND("" "", $F21, 1) - 1)), 0)), VALUE(IF(REGEXMATCH($H21, "" ""), LEFT($H21, (FIND("" "", $H21, 1) - 1)), 0)), VALUE(IF(REGEXMATCH($J21, "" ""), LEFT($J21, (FIND("" "", $J21, 1) - 1)), 0)), VALUE(IF(REGEX"&amp;"MATCH($L21, "" ""), LEFT($L21, (FIND("" "", $L21, 1) - 1)), 0)), VALUE(IF(REGEXMATCH($N21, "" ""), LEFT($N21, (FIND("" "", $N21, 1) - 1)), 0)), VALUE(IF(REGEXMATCH($P21, "" ""), LEFT($P21, (FIND("" "", $P21, 1) - 1)), 0)), VALUE(IF(REGEXMATCH($R21, "" "")"&amp;", LEFT($R21, (FIND("" "", $R21, 1) - 1)), 0)), VALUE(IF(REGEXMATCH($T21, "" ""), LEFT($T21, (FIND("" "", $T21, 1) - 1)), 0)), VALUE(IF(REGEXMATCH($V21, "" ""), LEFT($V21, (FIND("" "", $V21, 1) - 1)), 0)))"),19.65)</f>
        <v>19.65</v>
      </c>
      <c r="X21" s="17">
        <f t="shared" si="1"/>
        <v>24.5625</v>
      </c>
    </row>
    <row r="22">
      <c r="A22" s="13">
        <v>21.0</v>
      </c>
      <c r="B22" s="13">
        <v>1.60118733021E11</v>
      </c>
      <c r="C22" s="14" t="s">
        <v>81</v>
      </c>
      <c r="D22" s="15"/>
      <c r="E22" s="14" t="s">
        <v>82</v>
      </c>
      <c r="F22" s="16" t="s">
        <v>66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>
        <f>IFERROR(__xludf.DUMMYFUNCTION("MAX(VALUE(IF(REGEXMATCH($F22, "" ""), LEFT($F22, (FIND("" "", $F22, 1) - 1)), 0)), VALUE(IF(REGEXMATCH($H22, "" ""), LEFT($H22, (FIND("" "", $H22, 1) - 1)), 0)), VALUE(IF(REGEXMATCH($J22, "" ""), LEFT($J22, (FIND("" "", $J22, 1) - 1)), 0)), VALUE(IF(REGEX"&amp;"MATCH($L22, "" ""), LEFT($L22, (FIND("" "", $L22, 1) - 1)), 0)), VALUE(IF(REGEXMATCH($N22, "" ""), LEFT($N22, (FIND("" "", $N22, 1) - 1)), 0)), VALUE(IF(REGEXMATCH($P22, "" ""), LEFT($P22, (FIND("" "", $P22, 1) - 1)), 0)), VALUE(IF(REGEXMATCH($R22, "" "")"&amp;", LEFT($R22, (FIND("" "", $R22, 1) - 1)), 0)), VALUE(IF(REGEXMATCH($T22, "" ""), LEFT($T22, (FIND("" "", $T22, 1) - 1)), 0)), VALUE(IF(REGEXMATCH($V22, "" ""), LEFT($V22, (FIND("" "", $V22, 1) - 1)), 0)))"),7.6)</f>
        <v>7.6</v>
      </c>
      <c r="X22" s="17">
        <f t="shared" si="1"/>
        <v>9.5</v>
      </c>
    </row>
    <row r="23">
      <c r="A23" s="13">
        <v>22.0</v>
      </c>
      <c r="B23" s="13">
        <v>1.60118733022E11</v>
      </c>
      <c r="C23" s="14" t="s">
        <v>83</v>
      </c>
      <c r="D23" s="15" t="s">
        <v>21</v>
      </c>
      <c r="E23" s="14" t="s">
        <v>84</v>
      </c>
      <c r="F23" s="14" t="s">
        <v>32</v>
      </c>
      <c r="G23" s="14" t="s">
        <v>27</v>
      </c>
      <c r="H23" s="14" t="s">
        <v>28</v>
      </c>
      <c r="I23" s="14" t="s">
        <v>74</v>
      </c>
      <c r="J23" s="14" t="s">
        <v>75</v>
      </c>
      <c r="K23" s="16" t="s">
        <v>33</v>
      </c>
      <c r="L23" s="16" t="s">
        <v>34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>
        <f>IFERROR(__xludf.DUMMYFUNCTION("MAX(VALUE(IF(REGEXMATCH($F23, "" ""), LEFT($F23, (FIND("" "", $F23, 1) - 1)), 0)), VALUE(IF(REGEXMATCH($H23, "" ""), LEFT($H23, (FIND("" "", $H23, 1) - 1)), 0)), VALUE(IF(REGEXMATCH($J23, "" ""), LEFT($J23, (FIND("" "", $J23, 1) - 1)), 0)), VALUE(IF(REGEX"&amp;"MATCH($L23, "" ""), LEFT($L23, (FIND("" "", $L23, 1) - 1)), 0)), VALUE(IF(REGEXMATCH($N23, "" ""), LEFT($N23, (FIND("" "", $N23, 1) - 1)), 0)), VALUE(IF(REGEXMATCH($P23, "" ""), LEFT($P23, (FIND("" "", $P23, 1) - 1)), 0)), VALUE(IF(REGEXMATCH($R23, "" "")"&amp;", LEFT($R23, (FIND("" "", $R23, 1) - 1)), 0)), VALUE(IF(REGEXMATCH($T23, "" ""), LEFT($T23, (FIND("" "", $T23, 1) - 1)), 0)), VALUE(IF(REGEXMATCH($V23, "" ""), LEFT($V23, (FIND("" "", $V23, 1) - 1)), 0)))"),6.5)</f>
        <v>6.5</v>
      </c>
      <c r="X23" s="17">
        <f t="shared" si="1"/>
        <v>8.125</v>
      </c>
    </row>
    <row r="24">
      <c r="A24" s="13">
        <v>23.0</v>
      </c>
      <c r="B24" s="13">
        <v>1.60118733023E11</v>
      </c>
      <c r="C24" s="14" t="s">
        <v>85</v>
      </c>
      <c r="D24" s="15"/>
      <c r="E24" s="14" t="s">
        <v>82</v>
      </c>
      <c r="F24" s="16" t="s">
        <v>66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>
        <f>IFERROR(__xludf.DUMMYFUNCTION("MAX(VALUE(IF(REGEXMATCH($F24, "" ""), LEFT($F24, (FIND("" "", $F24, 1) - 1)), 0)), VALUE(IF(REGEXMATCH($H24, "" ""), LEFT($H24, (FIND("" "", $H24, 1) - 1)), 0)), VALUE(IF(REGEXMATCH($J24, "" ""), LEFT($J24, (FIND("" "", $J24, 1) - 1)), 0)), VALUE(IF(REGEX"&amp;"MATCH($L24, "" ""), LEFT($L24, (FIND("" "", $L24, 1) - 1)), 0)), VALUE(IF(REGEXMATCH($N24, "" ""), LEFT($N24, (FIND("" "", $N24, 1) - 1)), 0)), VALUE(IF(REGEXMATCH($P24, "" ""), LEFT($P24, (FIND("" "", $P24, 1) - 1)), 0)), VALUE(IF(REGEXMATCH($R24, "" "")"&amp;", LEFT($R24, (FIND("" "", $R24, 1) - 1)), 0)), VALUE(IF(REGEXMATCH($T24, "" ""), LEFT($T24, (FIND("" "", $T24, 1) - 1)), 0)), VALUE(IF(REGEXMATCH($V24, "" ""), LEFT($V24, (FIND("" "", $V24, 1) - 1)), 0)))"),7.6)</f>
        <v>7.6</v>
      </c>
      <c r="X24" s="17">
        <f t="shared" si="1"/>
        <v>9.5</v>
      </c>
    </row>
    <row r="25">
      <c r="A25" s="13">
        <v>24.0</v>
      </c>
      <c r="B25" s="13">
        <v>1.60118733024E11</v>
      </c>
      <c r="C25" s="14" t="s">
        <v>86</v>
      </c>
      <c r="D25" s="15"/>
      <c r="E25" s="14" t="s">
        <v>82</v>
      </c>
      <c r="F25" s="16" t="s">
        <v>66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>
        <f>IFERROR(__xludf.DUMMYFUNCTION("MAX(VALUE(IF(REGEXMATCH($F25, "" ""), LEFT($F25, (FIND("" "", $F25, 1) - 1)), 0)), VALUE(IF(REGEXMATCH($H25, "" ""), LEFT($H25, (FIND("" "", $H25, 1) - 1)), 0)), VALUE(IF(REGEXMATCH($J25, "" ""), LEFT($J25, (FIND("" "", $J25, 1) - 1)), 0)), VALUE(IF(REGEX"&amp;"MATCH($L25, "" ""), LEFT($L25, (FIND("" "", $L25, 1) - 1)), 0)), VALUE(IF(REGEXMATCH($N25, "" ""), LEFT($N25, (FIND("" "", $N25, 1) - 1)), 0)), VALUE(IF(REGEXMATCH($P25, "" ""), LEFT($P25, (FIND("" "", $P25, 1) - 1)), 0)), VALUE(IF(REGEXMATCH($R25, "" "")"&amp;", LEFT($R25, (FIND("" "", $R25, 1) - 1)), 0)), VALUE(IF(REGEXMATCH($T25, "" ""), LEFT($T25, (FIND("" "", $T25, 1) - 1)), 0)), VALUE(IF(REGEXMATCH($V25, "" ""), LEFT($V25, (FIND("" "", $V25, 1) - 1)), 0)))"),7.6)</f>
        <v>7.6</v>
      </c>
      <c r="X25" s="17">
        <f t="shared" si="1"/>
        <v>9.5</v>
      </c>
    </row>
    <row r="26">
      <c r="A26" s="13">
        <v>25.0</v>
      </c>
      <c r="B26" s="13">
        <v>1.60118733025E11</v>
      </c>
      <c r="C26" s="14" t="s">
        <v>87</v>
      </c>
      <c r="D26" s="15" t="s">
        <v>21</v>
      </c>
      <c r="E26" s="14" t="s">
        <v>88</v>
      </c>
      <c r="F26" s="14" t="s">
        <v>89</v>
      </c>
      <c r="G26" s="14" t="s">
        <v>90</v>
      </c>
      <c r="H26" s="14" t="s">
        <v>91</v>
      </c>
      <c r="I26" s="14" t="s">
        <v>45</v>
      </c>
      <c r="J26" s="16" t="s">
        <v>46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>
        <f>IFERROR(__xludf.DUMMYFUNCTION("MAX(VALUE(IF(REGEXMATCH($F26, "" ""), LEFT($F26, (FIND("" "", $F26, 1) - 1)), 0)), VALUE(IF(REGEXMATCH($H26, "" ""), LEFT($H26, (FIND("" "", $H26, 1) - 1)), 0)), VALUE(IF(REGEXMATCH($J26, "" ""), LEFT($J26, (FIND("" "", $J26, 1) - 1)), 0)), VALUE(IF(REGEX"&amp;"MATCH($L26, "" ""), LEFT($L26, (FIND("" "", $L26, 1) - 1)), 0)), VALUE(IF(REGEXMATCH($N26, "" ""), LEFT($N26, (FIND("" "", $N26, 1) - 1)), 0)), VALUE(IF(REGEXMATCH($P26, "" ""), LEFT($P26, (FIND("" "", $P26, 1) - 1)), 0)), VALUE(IF(REGEXMATCH($R26, "" "")"&amp;", LEFT($R26, (FIND("" "", $R26, 1) - 1)), 0)), VALUE(IF(REGEXMATCH($T26, "" ""), LEFT($T26, (FIND("" "", $T26, 1) - 1)), 0)), VALUE(IF(REGEXMATCH($V26, "" ""), LEFT($V26, (FIND("" "", $V26, 1) - 1)), 0)))"),12.73)</f>
        <v>12.73</v>
      </c>
      <c r="X26" s="17">
        <f t="shared" si="1"/>
        <v>15.9125</v>
      </c>
    </row>
    <row r="27">
      <c r="A27" s="13">
        <v>26.0</v>
      </c>
      <c r="B27" s="13">
        <v>1.60118733026E11</v>
      </c>
      <c r="C27" s="14" t="s">
        <v>92</v>
      </c>
      <c r="D27" s="19" t="s">
        <v>21</v>
      </c>
      <c r="E27" s="14" t="s">
        <v>93</v>
      </c>
      <c r="F27" s="14" t="s">
        <v>94</v>
      </c>
      <c r="G27" s="14" t="s">
        <v>45</v>
      </c>
      <c r="H27" s="14" t="s">
        <v>46</v>
      </c>
      <c r="I27" s="14" t="s">
        <v>95</v>
      </c>
      <c r="J27" s="16" t="s">
        <v>96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>
        <f>IFERROR(__xludf.DUMMYFUNCTION("MAX(VALUE(IF(REGEXMATCH($F27, "" ""), LEFT($F27, (FIND("" "", $F27, 1) - 1)), 0)), VALUE(IF(REGEXMATCH($H27, "" ""), LEFT($H27, (FIND("" "", $H27, 1) - 1)), 0)), VALUE(IF(REGEXMATCH($J27, "" ""), LEFT($J27, (FIND("" "", $J27, 1) - 1)), 0)), VALUE(IF(REGEX"&amp;"MATCH($L27, "" ""), LEFT($L27, (FIND("" "", $L27, 1) - 1)), 0)), VALUE(IF(REGEXMATCH($N27, "" ""), LEFT($N27, (FIND("" "", $N27, 1) - 1)), 0)), VALUE(IF(REGEXMATCH($P27, "" ""), LEFT($P27, (FIND("" "", $P27, 1) - 1)), 0)), VALUE(IF(REGEXMATCH($R27, "" "")"&amp;", LEFT($R27, (FIND("" "", $R27, 1) - 1)), 0)), VALUE(IF(REGEXMATCH($T27, "" ""), LEFT($T27, (FIND("" "", $T27, 1) - 1)), 0)), VALUE(IF(REGEXMATCH($V27, "" ""), LEFT($V27, (FIND("" "", $V27, 1) - 1)), 0)))"),22.79)</f>
        <v>22.79</v>
      </c>
      <c r="X27" s="17">
        <f t="shared" si="1"/>
        <v>28.4875</v>
      </c>
    </row>
    <row r="28">
      <c r="A28" s="13">
        <v>27.0</v>
      </c>
      <c r="B28" s="13">
        <v>1.60118733027E11</v>
      </c>
      <c r="C28" s="14" t="s">
        <v>97</v>
      </c>
      <c r="D28" s="15"/>
      <c r="E28" s="14" t="s">
        <v>98</v>
      </c>
      <c r="F28" s="14" t="s">
        <v>94</v>
      </c>
      <c r="G28" s="16" t="s">
        <v>33</v>
      </c>
      <c r="H28" s="14" t="s">
        <v>34</v>
      </c>
      <c r="I28" s="14" t="s">
        <v>45</v>
      </c>
      <c r="J28" s="16" t="s">
        <v>46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>
        <f>IFERROR(__xludf.DUMMYFUNCTION("MAX(VALUE(IF(REGEXMATCH($F28, "" ""), LEFT($F28, (FIND("" "", $F28, 1) - 1)), 0)), VALUE(IF(REGEXMATCH($H28, "" ""), LEFT($H28, (FIND("" "", $H28, 1) - 1)), 0)), VALUE(IF(REGEXMATCH($J28, "" ""), LEFT($J28, (FIND("" "", $J28, 1) - 1)), 0)), VALUE(IF(REGEX"&amp;"MATCH($L28, "" ""), LEFT($L28, (FIND("" "", $L28, 1) - 1)), 0)), VALUE(IF(REGEXMATCH($N28, "" ""), LEFT($N28, (FIND("" "", $N28, 1) - 1)), 0)), VALUE(IF(REGEXMATCH($P28, "" ""), LEFT($P28, (FIND("" "", $P28, 1) - 1)), 0)), VALUE(IF(REGEXMATCH($R28, "" "")"&amp;", LEFT($R28, (FIND("" "", $R28, 1) - 1)), 0)), VALUE(IF(REGEXMATCH($T28, "" ""), LEFT($T28, (FIND("" "", $T28, 1) - 1)), 0)), VALUE(IF(REGEXMATCH($V28, "" ""), LEFT($V28, (FIND("" "", $V28, 1) - 1)), 0)))"),7.0)</f>
        <v>7</v>
      </c>
      <c r="X28" s="17">
        <f t="shared" si="1"/>
        <v>8.75</v>
      </c>
    </row>
    <row r="29">
      <c r="A29" s="13">
        <v>28.0</v>
      </c>
      <c r="B29" s="13">
        <v>1.60118733028E11</v>
      </c>
      <c r="C29" s="14" t="s">
        <v>99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7">
        <f>IFERROR(__xludf.DUMMYFUNCTION("MAX(VALUE(IF(REGEXMATCH($F29, "" ""), LEFT($F29, (FIND("" "", $F29, 1) - 1)), 0)), VALUE(IF(REGEXMATCH($H29, "" ""), LEFT($H29, (FIND("" "", $H29, 1) - 1)), 0)), VALUE(IF(REGEXMATCH($J29, "" ""), LEFT($J29, (FIND("" "", $J29, 1) - 1)), 0)), VALUE(IF(REGEX"&amp;"MATCH($L29, "" ""), LEFT($L29, (FIND("" "", $L29, 1) - 1)), 0)), VALUE(IF(REGEXMATCH($N29, "" ""), LEFT($N29, (FIND("" "", $N29, 1) - 1)), 0)), VALUE(IF(REGEXMATCH($P29, "" ""), LEFT($P29, (FIND("" "", $P29, 1) - 1)), 0)), VALUE(IF(REGEXMATCH($R29, "" "")"&amp;", LEFT($R29, (FIND("" "", $R29, 1) - 1)), 0)), VALUE(IF(REGEXMATCH($T29, "" ""), LEFT($T29, (FIND("" "", $T29, 1) - 1)), 0)), VALUE(IF(REGEXMATCH($V29, "" ""), LEFT($V29, (FIND("" "", $V29, 1) - 1)), 0)))"),0.0)</f>
        <v>0</v>
      </c>
      <c r="X29" s="17">
        <f t="shared" si="1"/>
        <v>0</v>
      </c>
    </row>
    <row r="30">
      <c r="A30" s="13">
        <v>30.0</v>
      </c>
      <c r="B30" s="13">
        <v>1.6011873303E11</v>
      </c>
      <c r="C30" s="14" t="s">
        <v>100</v>
      </c>
      <c r="D30" s="20" t="s">
        <v>21</v>
      </c>
      <c r="E30" s="16" t="s">
        <v>101</v>
      </c>
      <c r="F30" s="16" t="s">
        <v>32</v>
      </c>
      <c r="G30" s="16" t="s">
        <v>102</v>
      </c>
      <c r="H30" s="16" t="s">
        <v>30</v>
      </c>
      <c r="I30" s="16" t="s">
        <v>72</v>
      </c>
      <c r="J30" s="16" t="s">
        <v>73</v>
      </c>
      <c r="K30" s="16" t="s">
        <v>24</v>
      </c>
      <c r="L30" s="16" t="s">
        <v>25</v>
      </c>
      <c r="M30" s="16" t="s">
        <v>103</v>
      </c>
      <c r="N30" s="16" t="s">
        <v>39</v>
      </c>
      <c r="O30" s="16" t="s">
        <v>45</v>
      </c>
      <c r="P30" s="16" t="s">
        <v>46</v>
      </c>
      <c r="Q30" s="16" t="s">
        <v>104</v>
      </c>
      <c r="R30" s="16" t="s">
        <v>75</v>
      </c>
      <c r="S30" s="16"/>
      <c r="T30" s="16"/>
      <c r="U30" s="16"/>
      <c r="V30" s="16"/>
      <c r="W30" s="17">
        <f>IFERROR(__xludf.DUMMYFUNCTION("MAX(VALUE(IF(REGEXMATCH($F30, "" ""), LEFT($F30, (FIND("" "", $F30, 1) - 1)), 0)), VALUE(IF(REGEXMATCH($H30, "" ""), LEFT($H30, (FIND("" "", $H30, 1) - 1)), 0)), VALUE(IF(REGEXMATCH($J30, "" ""), LEFT($J30, (FIND("" "", $J30, 1) - 1)), 0)), VALUE(IF(REGEX"&amp;"MATCH($L30, "" ""), LEFT($L30, (FIND("" "", $L30, 1) - 1)), 0)), VALUE(IF(REGEXMATCH($N30, "" ""), LEFT($N30, (FIND("" "", $N30, 1) - 1)), 0)), VALUE(IF(REGEXMATCH($P30, "" ""), LEFT($P30, (FIND("" "", $P30, 1) - 1)), 0)), VALUE(IF(REGEXMATCH($R30, "" "")"&amp;", LEFT($R30, (FIND("" "", $R30, 1) - 1)), 0)), VALUE(IF(REGEXMATCH($T30, "" ""), LEFT($T30, (FIND("" "", $T30, 1) - 1)), 0)), VALUE(IF(REGEXMATCH($V30, "" ""), LEFT($V30, (FIND("" "", $V30, 1) - 1)), 0)))"),8.0)</f>
        <v>8</v>
      </c>
      <c r="X30" s="17">
        <f t="shared" si="1"/>
        <v>10</v>
      </c>
    </row>
    <row r="31">
      <c r="A31" s="13">
        <v>31.0</v>
      </c>
      <c r="B31" s="13">
        <v>1.60118733031E11</v>
      </c>
      <c r="C31" s="14" t="s">
        <v>105</v>
      </c>
      <c r="D31" s="15" t="s">
        <v>21</v>
      </c>
      <c r="E31" s="14" t="s">
        <v>27</v>
      </c>
      <c r="F31" s="14" t="s">
        <v>28</v>
      </c>
      <c r="G31" s="14" t="s">
        <v>49</v>
      </c>
      <c r="H31" s="14" t="s">
        <v>30</v>
      </c>
      <c r="I31" s="14"/>
      <c r="J31" s="16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6"/>
      <c r="V31" s="16"/>
      <c r="W31" s="17">
        <f>IFERROR(__xludf.DUMMYFUNCTION("MAX(VALUE(IF(REGEXMATCH($F31, "" ""), LEFT($F31, (FIND("" "", $F31, 1) - 1)), 0)), VALUE(IF(REGEXMATCH($H31, "" ""), LEFT($H31, (FIND("" "", $H31, 1) - 1)), 0)), VALUE(IF(REGEXMATCH($J31, "" ""), LEFT($J31, (FIND("" "", $J31, 1) - 1)), 0)), VALUE(IF(REGEX"&amp;"MATCH($L31, "" ""), LEFT($L31, (FIND("" "", $L31, 1) - 1)), 0)), VALUE(IF(REGEXMATCH($N31, "" ""), LEFT($N31, (FIND("" "", $N31, 1) - 1)), 0)), VALUE(IF(REGEXMATCH($P31, "" ""), LEFT($P31, (FIND("" "", $P31, 1) - 1)), 0)), VALUE(IF(REGEXMATCH($R31, "" "")"&amp;", LEFT($R31, (FIND("" "", $R31, 1) - 1)), 0)), VALUE(IF(REGEXMATCH($T31, "" ""), LEFT($T31, (FIND("" "", $T31, 1) - 1)), 0)), VALUE(IF(REGEXMATCH($V31, "" ""), LEFT($V31, (FIND("" "", $V31, 1) - 1)), 0)))"),6.0)</f>
        <v>6</v>
      </c>
      <c r="X31" s="17">
        <f t="shared" si="1"/>
        <v>7.5</v>
      </c>
    </row>
    <row r="32">
      <c r="A32" s="13">
        <v>32.0</v>
      </c>
      <c r="B32" s="13">
        <v>1.60118733032E11</v>
      </c>
      <c r="C32" s="14" t="s">
        <v>106</v>
      </c>
      <c r="D32" s="15" t="s">
        <v>21</v>
      </c>
      <c r="E32" s="14" t="s">
        <v>107</v>
      </c>
      <c r="F32" s="14" t="s">
        <v>54</v>
      </c>
      <c r="G32" s="14" t="s">
        <v>45</v>
      </c>
      <c r="H32" s="16" t="s">
        <v>46</v>
      </c>
      <c r="I32" s="16" t="s">
        <v>108</v>
      </c>
      <c r="J32" s="16" t="s">
        <v>109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>
        <f>IFERROR(__xludf.DUMMYFUNCTION("MAX(VALUE(IF(REGEXMATCH($F32, "" ""), LEFT($F32, (FIND("" "", $F32, 1) - 1)), 0)), VALUE(IF(REGEXMATCH($H32, "" ""), LEFT($H32, (FIND("" "", $H32, 1) - 1)), 0)), VALUE(IF(REGEXMATCH($J32, "" ""), LEFT($J32, (FIND("" "", $J32, 1) - 1)), 0)), VALUE(IF(REGEX"&amp;"MATCH($L32, "" ""), LEFT($L32, (FIND("" "", $L32, 1) - 1)), 0)), VALUE(IF(REGEXMATCH($N32, "" ""), LEFT($N32, (FIND("" "", $N32, 1) - 1)), 0)), VALUE(IF(REGEXMATCH($P32, "" ""), LEFT($P32, (FIND("" "", $P32, 1) - 1)), 0)), VALUE(IF(REGEXMATCH($R32, "" "")"&amp;", LEFT($R32, (FIND("" "", $R32, 1) - 1)), 0)), VALUE(IF(REGEXMATCH($T32, "" ""), LEFT($T32, (FIND("" "", $T32, 1) - 1)), 0)), VALUE(IF(REGEXMATCH($V32, "" ""), LEFT($V32, (FIND("" "", $V32, 1) - 1)), 0)))"),8.1)</f>
        <v>8.1</v>
      </c>
      <c r="X32" s="17">
        <f t="shared" si="1"/>
        <v>10.125</v>
      </c>
    </row>
    <row r="33">
      <c r="A33" s="13">
        <v>33.0</v>
      </c>
      <c r="B33" s="13">
        <v>1.60118733033E11</v>
      </c>
      <c r="C33" s="14" t="s">
        <v>110</v>
      </c>
      <c r="D33" s="15" t="s">
        <v>21</v>
      </c>
      <c r="E33" s="14" t="s">
        <v>93</v>
      </c>
      <c r="F33" s="14" t="s">
        <v>94</v>
      </c>
      <c r="G33" s="14" t="s">
        <v>108</v>
      </c>
      <c r="H33" s="14" t="s">
        <v>109</v>
      </c>
      <c r="I33" s="14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>
        <f>IFERROR(__xludf.DUMMYFUNCTION("MAX(VALUE(IF(REGEXMATCH($F33, "" ""), LEFT($F33, (FIND("" "", $F33, 1) - 1)), 0)), VALUE(IF(REGEXMATCH($H33, "" ""), LEFT($H33, (FIND("" "", $H33, 1) - 1)), 0)), VALUE(IF(REGEXMATCH($J33, "" ""), LEFT($J33, (FIND("" "", $J33, 1) - 1)), 0)), VALUE(IF(REGEX"&amp;"MATCH($L33, "" ""), LEFT($L33, (FIND("" "", $L33, 1) - 1)), 0)), VALUE(IF(REGEXMATCH($N33, "" ""), LEFT($N33, (FIND("" "", $N33, 1) - 1)), 0)), VALUE(IF(REGEXMATCH($P33, "" ""), LEFT($P33, (FIND("" "", $P33, 1) - 1)), 0)), VALUE(IF(REGEXMATCH($R33, "" "")"&amp;", LEFT($R33, (FIND("" "", $R33, 1) - 1)), 0)), VALUE(IF(REGEXMATCH($T33, "" ""), LEFT($T33, (FIND("" "", $T33, 1) - 1)), 0)), VALUE(IF(REGEXMATCH($V33, "" ""), LEFT($V33, (FIND("" "", $V33, 1) - 1)), 0)))"),7.0)</f>
        <v>7</v>
      </c>
      <c r="X33" s="17">
        <f t="shared" si="1"/>
        <v>8.75</v>
      </c>
    </row>
    <row r="34">
      <c r="A34" s="13">
        <v>34.0</v>
      </c>
      <c r="B34" s="13">
        <v>1.60118733034E11</v>
      </c>
      <c r="C34" s="14" t="s">
        <v>111</v>
      </c>
      <c r="D34" s="15" t="s">
        <v>21</v>
      </c>
      <c r="E34" s="14" t="s">
        <v>112</v>
      </c>
      <c r="F34" s="14" t="s">
        <v>54</v>
      </c>
      <c r="G34" s="14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7">
        <f>IFERROR(__xludf.DUMMYFUNCTION("MAX(VALUE(IF(REGEXMATCH($F34, "" ""), LEFT($F34, (FIND("" "", $F34, 1) - 1)), 0)), VALUE(IF(REGEXMATCH($H34, "" ""), LEFT($H34, (FIND("" "", $H34, 1) - 1)), 0)), VALUE(IF(REGEXMATCH($J34, "" ""), LEFT($J34, (FIND("" "", $J34, 1) - 1)), 0)), VALUE(IF(REGEX"&amp;"MATCH($L34, "" ""), LEFT($L34, (FIND("" "", $L34, 1) - 1)), 0)), VALUE(IF(REGEXMATCH($N34, "" ""), LEFT($N34, (FIND("" "", $N34, 1) - 1)), 0)), VALUE(IF(REGEXMATCH($P34, "" ""), LEFT($P34, (FIND("" "", $P34, 1) - 1)), 0)), VALUE(IF(REGEXMATCH($R34, "" "")"&amp;", LEFT($R34, (FIND("" "", $R34, 1) - 1)), 0)), VALUE(IF(REGEXMATCH($T34, "" ""), LEFT($T34, (FIND("" "", $T34, 1) - 1)), 0)), VALUE(IF(REGEXMATCH($V34, "" ""), LEFT($V34, (FIND("" "", $V34, 1) - 1)), 0)))"),8.1)</f>
        <v>8.1</v>
      </c>
      <c r="X34" s="17">
        <f t="shared" si="1"/>
        <v>10.125</v>
      </c>
      <c r="Y34" s="21"/>
      <c r="Z34" s="21"/>
      <c r="AA34" s="21"/>
      <c r="AB34" s="21"/>
      <c r="AC34" s="21"/>
      <c r="AD34" s="21"/>
    </row>
    <row r="35">
      <c r="A35" s="13">
        <v>35.0</v>
      </c>
      <c r="B35" s="13">
        <v>1.60118733035E11</v>
      </c>
      <c r="C35" s="14" t="s">
        <v>113</v>
      </c>
      <c r="D35" s="14"/>
      <c r="E35" s="18" t="s">
        <v>35</v>
      </c>
      <c r="F35" s="18" t="s">
        <v>36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>
        <f>IFERROR(__xludf.DUMMYFUNCTION("MAX(VALUE(IF(REGEXMATCH($F35, "" ""), LEFT($F35, (FIND("" "", $F35, 1) - 1)), 0)), VALUE(IF(REGEXMATCH($H35, "" ""), LEFT($H35, (FIND("" "", $H35, 1) - 1)), 0)), VALUE(IF(REGEXMATCH($J35, "" ""), LEFT($J35, (FIND("" "", $J35, 1) - 1)), 0)), VALUE(IF(REGEX"&amp;"MATCH($L35, "" ""), LEFT($L35, (FIND("" "", $L35, 1) - 1)), 0)), VALUE(IF(REGEXMATCH($N35, "" ""), LEFT($N35, (FIND("" "", $N35, 1) - 1)), 0)), VALUE(IF(REGEXMATCH($P35, "" ""), LEFT($P35, (FIND("" "", $P35, 1) - 1)), 0)), VALUE(IF(REGEXMATCH($R35, "" "")"&amp;", LEFT($R35, (FIND("" "", $R35, 1) - 1)), 0)), VALUE(IF(REGEXMATCH($T35, "" ""), LEFT($T35, (FIND("" "", $T35, 1) - 1)), 0)), VALUE(IF(REGEXMATCH($V35, "" ""), LEFT($V35, (FIND("" "", $V35, 1) - 1)), 0)))"),8.5)</f>
        <v>8.5</v>
      </c>
      <c r="X35" s="17">
        <f t="shared" si="1"/>
        <v>10.625</v>
      </c>
    </row>
    <row r="36">
      <c r="A36" s="13">
        <v>36.0</v>
      </c>
      <c r="B36" s="13">
        <v>1.60118733036E11</v>
      </c>
      <c r="C36" s="14" t="s">
        <v>114</v>
      </c>
      <c r="D36" s="20" t="s">
        <v>21</v>
      </c>
      <c r="E36" s="16" t="s">
        <v>88</v>
      </c>
      <c r="F36" s="16" t="s">
        <v>89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>
        <f>IFERROR(__xludf.DUMMYFUNCTION("MAX(VALUE(IF(REGEXMATCH($F36, "" ""), LEFT($F36, (FIND("" "", $F36, 1) - 1)), 0)), VALUE(IF(REGEXMATCH($H36, "" ""), LEFT($H36, (FIND("" "", $H36, 1) - 1)), 0)), VALUE(IF(REGEXMATCH($J36, "" ""), LEFT($J36, (FIND("" "", $J36, 1) - 1)), 0)), VALUE(IF(REGEX"&amp;"MATCH($L36, "" ""), LEFT($L36, (FIND("" "", $L36, 1) - 1)), 0)), VALUE(IF(REGEXMATCH($N36, "" ""), LEFT($N36, (FIND("" "", $N36, 1) - 1)), 0)), VALUE(IF(REGEXMATCH($P36, "" ""), LEFT($P36, (FIND("" "", $P36, 1) - 1)), 0)), VALUE(IF(REGEXMATCH($R36, "" "")"&amp;", LEFT($R36, (FIND("" "", $R36, 1) - 1)), 0)), VALUE(IF(REGEXMATCH($T36, "" ""), LEFT($T36, (FIND("" "", $T36, 1) - 1)), 0)), VALUE(IF(REGEXMATCH($V36, "" ""), LEFT($V36, (FIND("" "", $V36, 1) - 1)), 0)))"),6.75)</f>
        <v>6.75</v>
      </c>
      <c r="X36" s="17">
        <f t="shared" si="1"/>
        <v>8.4375</v>
      </c>
    </row>
    <row r="37">
      <c r="A37" s="13">
        <v>37.0</v>
      </c>
      <c r="B37" s="13">
        <v>1.60118733037E11</v>
      </c>
      <c r="C37" s="14" t="s">
        <v>115</v>
      </c>
      <c r="D37" s="14"/>
      <c r="E37" s="1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>
        <f>IFERROR(__xludf.DUMMYFUNCTION("MAX(VALUE(IF(REGEXMATCH($F37, "" ""), LEFT($F37, (FIND("" "", $F37, 1) - 1)), 0)), VALUE(IF(REGEXMATCH($H37, "" ""), LEFT($H37, (FIND("" "", $H37, 1) - 1)), 0)), VALUE(IF(REGEXMATCH($J37, "" ""), LEFT($J37, (FIND("" "", $J37, 1) - 1)), 0)), VALUE(IF(REGEX"&amp;"MATCH($L37, "" ""), LEFT($L37, (FIND("" "", $L37, 1) - 1)), 0)), VALUE(IF(REGEXMATCH($N37, "" ""), LEFT($N37, (FIND("" "", $N37, 1) - 1)), 0)), VALUE(IF(REGEXMATCH($P37, "" ""), LEFT($P37, (FIND("" "", $P37, 1) - 1)), 0)), VALUE(IF(REGEXMATCH($R37, "" "")"&amp;", LEFT($R37, (FIND("" "", $R37, 1) - 1)), 0)), VALUE(IF(REGEXMATCH($T37, "" ""), LEFT($T37, (FIND("" "", $T37, 1) - 1)), 0)), VALUE(IF(REGEXMATCH($V37, "" ""), LEFT($V37, (FIND("" "", $V37, 1) - 1)), 0)))"),0.0)</f>
        <v>0</v>
      </c>
      <c r="X37" s="17">
        <f t="shared" si="1"/>
        <v>0</v>
      </c>
    </row>
    <row r="38">
      <c r="A38" s="13">
        <v>38.0</v>
      </c>
      <c r="B38" s="13">
        <v>1.60118733038E11</v>
      </c>
      <c r="C38" s="14" t="s">
        <v>116</v>
      </c>
      <c r="D38" s="20" t="s">
        <v>21</v>
      </c>
      <c r="E38" s="16" t="s">
        <v>41</v>
      </c>
      <c r="F38" s="16" t="s">
        <v>42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>
        <f>IFERROR(__xludf.DUMMYFUNCTION("MAX(VALUE(IF(REGEXMATCH($F38, "" ""), LEFT($F38, (FIND("" "", $F38, 1) - 1)), 0)), VALUE(IF(REGEXMATCH($H38, "" ""), LEFT($H38, (FIND("" "", $H38, 1) - 1)), 0)), VALUE(IF(REGEXMATCH($J38, "" ""), LEFT($J38, (FIND("" "", $J38, 1) - 1)), 0)), VALUE(IF(REGEX"&amp;"MATCH($L38, "" ""), LEFT($L38, (FIND("" "", $L38, 1) - 1)), 0)), VALUE(IF(REGEXMATCH($N38, "" ""), LEFT($N38, (FIND("" "", $N38, 1) - 1)), 0)), VALUE(IF(REGEXMATCH($P38, "" ""), LEFT($P38, (FIND("" "", $P38, 1) - 1)), 0)), VALUE(IF(REGEXMATCH($R38, "" "")"&amp;", LEFT($R38, (FIND("" "", $R38, 1) - 1)), 0)), VALUE(IF(REGEXMATCH($T38, "" ""), LEFT($T38, (FIND("" "", $T38, 1) - 1)), 0)), VALUE(IF(REGEXMATCH($V38, "" ""), LEFT($V38, (FIND("" "", $V38, 1) - 1)), 0)))"),14.0)</f>
        <v>14</v>
      </c>
      <c r="X38" s="17">
        <f t="shared" si="1"/>
        <v>17.5</v>
      </c>
    </row>
    <row r="39">
      <c r="A39" s="13">
        <v>39.0</v>
      </c>
      <c r="B39" s="13">
        <v>1.60118733039E11</v>
      </c>
      <c r="C39" s="14" t="s">
        <v>117</v>
      </c>
      <c r="D39" s="15" t="s">
        <v>21</v>
      </c>
      <c r="E39" s="14" t="s">
        <v>48</v>
      </c>
      <c r="F39" s="16" t="s">
        <v>25</v>
      </c>
      <c r="G39" s="16" t="s">
        <v>31</v>
      </c>
      <c r="H39" s="16" t="s">
        <v>32</v>
      </c>
      <c r="I39" s="16" t="s">
        <v>33</v>
      </c>
      <c r="J39" s="16" t="s">
        <v>34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>
        <f>IFERROR(__xludf.DUMMYFUNCTION("MAX(VALUE(IF(REGEXMATCH($F39, "" ""), LEFT($F39, (FIND("" "", $F39, 1) - 1)), 0)), VALUE(IF(REGEXMATCH($H39, "" ""), LEFT($H39, (FIND("" "", $H39, 1) - 1)), 0)), VALUE(IF(REGEXMATCH($J39, "" ""), LEFT($J39, (FIND("" "", $J39, 1) - 1)), 0)), VALUE(IF(REGEX"&amp;"MATCH($L39, "" ""), LEFT($L39, (FIND("" "", $L39, 1) - 1)), 0)), VALUE(IF(REGEXMATCH($N39, "" ""), LEFT($N39, (FIND("" "", $N39, 1) - 1)), 0)), VALUE(IF(REGEXMATCH($P39, "" ""), LEFT($P39, (FIND("" "", $P39, 1) - 1)), 0)), VALUE(IF(REGEXMATCH($R39, "" "")"&amp;", LEFT($R39, (FIND("" "", $R39, 1) - 1)), 0)), VALUE(IF(REGEXMATCH($T39, "" ""), LEFT($T39, (FIND("" "", $T39, 1) - 1)), 0)), VALUE(IF(REGEXMATCH($V39, "" ""), LEFT($V39, (FIND("" "", $V39, 1) - 1)), 0)))"),6.5)</f>
        <v>6.5</v>
      </c>
      <c r="X39" s="17">
        <f t="shared" si="1"/>
        <v>8.125</v>
      </c>
    </row>
    <row r="40">
      <c r="A40" s="13">
        <v>41.0</v>
      </c>
      <c r="B40" s="13">
        <v>1.60118733041E11</v>
      </c>
      <c r="C40" s="14" t="s">
        <v>118</v>
      </c>
      <c r="D40" s="15" t="s">
        <v>21</v>
      </c>
      <c r="E40" s="14" t="s">
        <v>24</v>
      </c>
      <c r="F40" s="14" t="s">
        <v>25</v>
      </c>
      <c r="G40" s="14" t="s">
        <v>33</v>
      </c>
      <c r="H40" s="14" t="s">
        <v>34</v>
      </c>
      <c r="I40" s="16" t="s">
        <v>45</v>
      </c>
      <c r="J40" s="16" t="s">
        <v>46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>
        <f>IFERROR(__xludf.DUMMYFUNCTION("MAX(VALUE(IF(REGEXMATCH($F40, "" ""), LEFT($F40, (FIND("" "", $F40, 1) - 1)), 0)), VALUE(IF(REGEXMATCH($H40, "" ""), LEFT($H40, (FIND("" "", $H40, 1) - 1)), 0)), VALUE(IF(REGEXMATCH($J40, "" ""), LEFT($J40, (FIND("" "", $J40, 1) - 1)), 0)), VALUE(IF(REGEX"&amp;"MATCH($L40, "" ""), LEFT($L40, (FIND("" "", $L40, 1) - 1)), 0)), VALUE(IF(REGEXMATCH($N40, "" ""), LEFT($N40, (FIND("" "", $N40, 1) - 1)), 0)), VALUE(IF(REGEXMATCH($P40, "" ""), LEFT($P40, (FIND("" "", $P40, 1) - 1)), 0)), VALUE(IF(REGEXMATCH($R40, "" "")"&amp;", LEFT($R40, (FIND("" "", $R40, 1) - 1)), 0)), VALUE(IF(REGEXMATCH($T40, "" ""), LEFT($T40, (FIND("" "", $T40, 1) - 1)), 0)), VALUE(IF(REGEXMATCH($V40, "" ""), LEFT($V40, (FIND("" "", $V40, 1) - 1)), 0)))"),4.0)</f>
        <v>4</v>
      </c>
      <c r="X40" s="17">
        <f t="shared" si="1"/>
        <v>5</v>
      </c>
    </row>
    <row r="41">
      <c r="A41" s="13">
        <v>42.0</v>
      </c>
      <c r="B41" s="13">
        <v>1.60118733042E11</v>
      </c>
      <c r="C41" s="14" t="s">
        <v>119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>
        <f>IFERROR(__xludf.DUMMYFUNCTION("MAX(VALUE(IF(REGEXMATCH($F41, "" ""), LEFT($F41, (FIND("" "", $F41, 1) - 1)), 0)), VALUE(IF(REGEXMATCH($H41, "" ""), LEFT($H41, (FIND("" "", $H41, 1) - 1)), 0)), VALUE(IF(REGEXMATCH($J41, "" ""), LEFT($J41, (FIND("" "", $J41, 1) - 1)), 0)), VALUE(IF(REGEX"&amp;"MATCH($L41, "" ""), LEFT($L41, (FIND("" "", $L41, 1) - 1)), 0)), VALUE(IF(REGEXMATCH($N41, "" ""), LEFT($N41, (FIND("" "", $N41, 1) - 1)), 0)), VALUE(IF(REGEXMATCH($P41, "" ""), LEFT($P41, (FIND("" "", $P41, 1) - 1)), 0)), VALUE(IF(REGEXMATCH($R41, "" "")"&amp;", LEFT($R41, (FIND("" "", $R41, 1) - 1)), 0)), VALUE(IF(REGEXMATCH($T41, "" ""), LEFT($T41, (FIND("" "", $T41, 1) - 1)), 0)), VALUE(IF(REGEXMATCH($V41, "" ""), LEFT($V41, (FIND("" "", $V41, 1) - 1)), 0)))"),0.0)</f>
        <v>0</v>
      </c>
      <c r="X41" s="17">
        <f t="shared" si="1"/>
        <v>0</v>
      </c>
    </row>
    <row r="42">
      <c r="A42" s="13">
        <v>43.0</v>
      </c>
      <c r="B42" s="13">
        <v>1.60118733043E11</v>
      </c>
      <c r="C42" s="14" t="s">
        <v>120</v>
      </c>
      <c r="D42" s="20"/>
      <c r="E42" s="14" t="s">
        <v>82</v>
      </c>
      <c r="F42" s="14" t="s">
        <v>66</v>
      </c>
      <c r="G42" s="16"/>
      <c r="H42" s="14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>
        <f>IFERROR(__xludf.DUMMYFUNCTION("MAX(VALUE(IF(REGEXMATCH($F42, "" ""), LEFT($F42, (FIND("" "", $F42, 1) - 1)), 0)), VALUE(IF(REGEXMATCH($H42, "" ""), LEFT($H42, (FIND("" "", $H42, 1) - 1)), 0)), VALUE(IF(REGEXMATCH($J42, "" ""), LEFT($J42, (FIND("" "", $J42, 1) - 1)), 0)), VALUE(IF(REGEX"&amp;"MATCH($L42, "" ""), LEFT($L42, (FIND("" "", $L42, 1) - 1)), 0)), VALUE(IF(REGEXMATCH($N42, "" ""), LEFT($N42, (FIND("" "", $N42, 1) - 1)), 0)), VALUE(IF(REGEXMATCH($P42, "" ""), LEFT($P42, (FIND("" "", $P42, 1) - 1)), 0)), VALUE(IF(REGEXMATCH($R42, "" "")"&amp;", LEFT($R42, (FIND("" "", $R42, 1) - 1)), 0)), VALUE(IF(REGEXMATCH($T42, "" ""), LEFT($T42, (FIND("" "", $T42, 1) - 1)), 0)), VALUE(IF(REGEXMATCH($V42, "" ""), LEFT($V42, (FIND("" "", $V42, 1) - 1)), 0)))"),7.6)</f>
        <v>7.6</v>
      </c>
      <c r="X42" s="17">
        <f t="shared" si="1"/>
        <v>9.5</v>
      </c>
    </row>
    <row r="43">
      <c r="A43" s="13">
        <v>44.0</v>
      </c>
      <c r="B43" s="13">
        <v>1.60118733044E11</v>
      </c>
      <c r="C43" s="14" t="s">
        <v>121</v>
      </c>
      <c r="D43" s="20" t="s">
        <v>21</v>
      </c>
      <c r="E43" s="16" t="s">
        <v>122</v>
      </c>
      <c r="F43" s="16" t="s">
        <v>54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>
        <f>IFERROR(__xludf.DUMMYFUNCTION("MAX(VALUE(IF(REGEXMATCH($F43, "" ""), LEFT($F43, (FIND("" "", $F43, 1) - 1)), 0)), VALUE(IF(REGEXMATCH($H43, "" ""), LEFT($H43, (FIND("" "", $H43, 1) - 1)), 0)), VALUE(IF(REGEXMATCH($J43, "" ""), LEFT($J43, (FIND("" "", $J43, 1) - 1)), 0)), VALUE(IF(REGEX"&amp;"MATCH($L43, "" ""), LEFT($L43, (FIND("" "", $L43, 1) - 1)), 0)), VALUE(IF(REGEXMATCH($N43, "" ""), LEFT($N43, (FIND("" "", $N43, 1) - 1)), 0)), VALUE(IF(REGEXMATCH($P43, "" ""), LEFT($P43, (FIND("" "", $P43, 1) - 1)), 0)), VALUE(IF(REGEXMATCH($R43, "" "")"&amp;", LEFT($R43, (FIND("" "", $R43, 1) - 1)), 0)), VALUE(IF(REGEXMATCH($T43, "" ""), LEFT($T43, (FIND("" "", $T43, 1) - 1)), 0)), VALUE(IF(REGEXMATCH($V43, "" ""), LEFT($V43, (FIND("" "", $V43, 1) - 1)), 0)))"),8.1)</f>
        <v>8.1</v>
      </c>
      <c r="X43" s="17">
        <f t="shared" si="1"/>
        <v>10.125</v>
      </c>
    </row>
    <row r="44">
      <c r="A44" s="13">
        <v>45.0</v>
      </c>
      <c r="B44" s="13">
        <v>1.60118733045E11</v>
      </c>
      <c r="C44" s="14" t="s">
        <v>123</v>
      </c>
      <c r="D44" s="15"/>
      <c r="E44" s="14" t="s">
        <v>124</v>
      </c>
      <c r="F44" s="16" t="s">
        <v>125</v>
      </c>
      <c r="G44" s="16" t="s">
        <v>45</v>
      </c>
      <c r="H44" s="16" t="s">
        <v>46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>
        <f>IFERROR(__xludf.DUMMYFUNCTION("MAX(VALUE(IF(REGEXMATCH($F44, "" ""), LEFT($F44, (FIND("" "", $F44, 1) - 1)), 0)), VALUE(IF(REGEXMATCH($H44, "" ""), LEFT($H44, (FIND("" "", $H44, 1) - 1)), 0)), VALUE(IF(REGEXMATCH($J44, "" ""), LEFT($J44, (FIND("" "", $J44, 1) - 1)), 0)), VALUE(IF(REGEX"&amp;"MATCH($L44, "" ""), LEFT($L44, (FIND("" "", $L44, 1) - 1)), 0)), VALUE(IF(REGEXMATCH($N44, "" ""), LEFT($N44, (FIND("" "", $N44, 1) - 1)), 0)), VALUE(IF(REGEXMATCH($P44, "" ""), LEFT($P44, (FIND("" "", $P44, 1) - 1)), 0)), VALUE(IF(REGEXMATCH($R44, "" "")"&amp;", LEFT($R44, (FIND("" "", $R44, 1) - 1)), 0)), VALUE(IF(REGEXMATCH($T44, "" ""), LEFT($T44, (FIND("" "", $T44, 1) - 1)), 0)), VALUE(IF(REGEXMATCH($V44, "" ""), LEFT($V44, (FIND("" "", $V44, 1) - 1)), 0)))"),9.0)</f>
        <v>9</v>
      </c>
      <c r="X44" s="17">
        <f t="shared" si="1"/>
        <v>11.25</v>
      </c>
    </row>
    <row r="45">
      <c r="A45" s="13">
        <v>46.0</v>
      </c>
      <c r="B45" s="13">
        <v>1.60118733046E11</v>
      </c>
      <c r="C45" s="14" t="s">
        <v>126</v>
      </c>
      <c r="D45" s="15" t="s">
        <v>21</v>
      </c>
      <c r="E45" s="14" t="s">
        <v>127</v>
      </c>
      <c r="F45" s="16" t="s">
        <v>73</v>
      </c>
      <c r="G45" s="16" t="s">
        <v>90</v>
      </c>
      <c r="H45" s="16" t="s">
        <v>91</v>
      </c>
      <c r="I45" s="16" t="s">
        <v>128</v>
      </c>
      <c r="J45" s="16" t="s">
        <v>129</v>
      </c>
      <c r="K45" s="16" t="s">
        <v>130</v>
      </c>
      <c r="L45" s="16" t="s">
        <v>131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>
        <f>IFERROR(__xludf.DUMMYFUNCTION("MAX(VALUE(IF(REGEXMATCH($F45, "" ""), LEFT($F45, (FIND("" "", $F45, 1) - 1)), 0)), VALUE(IF(REGEXMATCH($H45, "" ""), LEFT($H45, (FIND("" "", $H45, 1) - 1)), 0)), VALUE(IF(REGEXMATCH($J45, "" ""), LEFT($J45, (FIND("" "", $J45, 1) - 1)), 0)), VALUE(IF(REGEX"&amp;"MATCH($L45, "" ""), LEFT($L45, (FIND("" "", $L45, 1) - 1)), 0)), VALUE(IF(REGEXMATCH($N45, "" ""), LEFT($N45, (FIND("" "", $N45, 1) - 1)), 0)), VALUE(IF(REGEXMATCH($P45, "" ""), LEFT($P45, (FIND("" "", $P45, 1) - 1)), 0)), VALUE(IF(REGEXMATCH($R45, "" "")"&amp;", LEFT($R45, (FIND("" "", $R45, 1) - 1)), 0)), VALUE(IF(REGEXMATCH($T45, "" ""), LEFT($T45, (FIND("" "", $T45, 1) - 1)), 0)), VALUE(IF(REGEXMATCH($V45, "" ""), LEFT($V45, (FIND("" "", $V45, 1) - 1)), 0)))"),33.0)</f>
        <v>33</v>
      </c>
      <c r="X45" s="17">
        <f t="shared" si="1"/>
        <v>41.25</v>
      </c>
    </row>
    <row r="46">
      <c r="A46" s="13">
        <v>47.0</v>
      </c>
      <c r="B46" s="13">
        <v>1.60118733047E11</v>
      </c>
      <c r="C46" s="14" t="s">
        <v>132</v>
      </c>
      <c r="D46" s="14"/>
      <c r="E46" s="14"/>
      <c r="F46" s="14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>
        <f>IFERROR(__xludf.DUMMYFUNCTION("MAX(VALUE(IF(REGEXMATCH($F46, "" ""), LEFT($F46, (FIND("" "", $F46, 1) - 1)), 0)), VALUE(IF(REGEXMATCH($H46, "" ""), LEFT($H46, (FIND("" "", $H46, 1) - 1)), 0)), VALUE(IF(REGEXMATCH($J46, "" ""), LEFT($J46, (FIND("" "", $J46, 1) - 1)), 0)), VALUE(IF(REGEX"&amp;"MATCH($L46, "" ""), LEFT($L46, (FIND("" "", $L46, 1) - 1)), 0)), VALUE(IF(REGEXMATCH($N46, "" ""), LEFT($N46, (FIND("" "", $N46, 1) - 1)), 0)), VALUE(IF(REGEXMATCH($P46, "" ""), LEFT($P46, (FIND("" "", $P46, 1) - 1)), 0)), VALUE(IF(REGEXMATCH($R46, "" "")"&amp;", LEFT($R46, (FIND("" "", $R46, 1) - 1)), 0)), VALUE(IF(REGEXMATCH($T46, "" ""), LEFT($T46, (FIND("" "", $T46, 1) - 1)), 0)), VALUE(IF(REGEXMATCH($V46, "" ""), LEFT($V46, (FIND("" "", $V46, 1) - 1)), 0)))"),0.0)</f>
        <v>0</v>
      </c>
      <c r="X46" s="17">
        <f t="shared" si="1"/>
        <v>0</v>
      </c>
    </row>
    <row r="47">
      <c r="A47" s="13">
        <v>48.0</v>
      </c>
      <c r="B47" s="13">
        <v>1.60118733048E11</v>
      </c>
      <c r="C47" s="14" t="s">
        <v>133</v>
      </c>
      <c r="D47" s="15"/>
      <c r="E47" s="14" t="s">
        <v>82</v>
      </c>
      <c r="F47" s="14" t="s">
        <v>66</v>
      </c>
      <c r="G47" s="14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>
        <f>IFERROR(__xludf.DUMMYFUNCTION("MAX(VALUE(IF(REGEXMATCH($F47, "" ""), LEFT($F47, (FIND("" "", $F47, 1) - 1)), 0)), VALUE(IF(REGEXMATCH($H47, "" ""), LEFT($H47, (FIND("" "", $H47, 1) - 1)), 0)), VALUE(IF(REGEXMATCH($J47, "" ""), LEFT($J47, (FIND("" "", $J47, 1) - 1)), 0)), VALUE(IF(REGEX"&amp;"MATCH($L47, "" ""), LEFT($L47, (FIND("" "", $L47, 1) - 1)), 0)), VALUE(IF(REGEXMATCH($N47, "" ""), LEFT($N47, (FIND("" "", $N47, 1) - 1)), 0)), VALUE(IF(REGEXMATCH($P47, "" ""), LEFT($P47, (FIND("" "", $P47, 1) - 1)), 0)), VALUE(IF(REGEXMATCH($R47, "" "")"&amp;", LEFT($R47, (FIND("" "", $R47, 1) - 1)), 0)), VALUE(IF(REGEXMATCH($T47, "" ""), LEFT($T47, (FIND("" "", $T47, 1) - 1)), 0)), VALUE(IF(REGEXMATCH($V47, "" ""), LEFT($V47, (FIND("" "", $V47, 1) - 1)), 0)))"),7.6)</f>
        <v>7.6</v>
      </c>
      <c r="X47" s="17">
        <f t="shared" si="1"/>
        <v>9.5</v>
      </c>
    </row>
    <row r="48">
      <c r="A48" s="13">
        <v>49.0</v>
      </c>
      <c r="B48" s="13">
        <v>1.60118733049E11</v>
      </c>
      <c r="C48" s="14" t="s">
        <v>134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>
        <f>IFERROR(__xludf.DUMMYFUNCTION("MAX(VALUE(IF(REGEXMATCH($F48, "" ""), LEFT($F48, (FIND("" "", $F48, 1) - 1)), 0)), VALUE(IF(REGEXMATCH($H48, "" ""), LEFT($H48, (FIND("" "", $H48, 1) - 1)), 0)), VALUE(IF(REGEXMATCH($J48, "" ""), LEFT($J48, (FIND("" "", $J48, 1) - 1)), 0)), VALUE(IF(REGEX"&amp;"MATCH($L48, "" ""), LEFT($L48, (FIND("" "", $L48, 1) - 1)), 0)), VALUE(IF(REGEXMATCH($N48, "" ""), LEFT($N48, (FIND("" "", $N48, 1) - 1)), 0)), VALUE(IF(REGEXMATCH($P48, "" ""), LEFT($P48, (FIND("" "", $P48, 1) - 1)), 0)), VALUE(IF(REGEXMATCH($R48, "" "")"&amp;", LEFT($R48, (FIND("" "", $R48, 1) - 1)), 0)), VALUE(IF(REGEXMATCH($T48, "" ""), LEFT($T48, (FIND("" "", $T48, 1) - 1)), 0)), VALUE(IF(REGEXMATCH($V48, "" ""), LEFT($V48, (FIND("" "", $V48, 1) - 1)), 0)))"),0.0)</f>
        <v>0</v>
      </c>
      <c r="X48" s="17">
        <f t="shared" si="1"/>
        <v>0</v>
      </c>
    </row>
    <row r="49">
      <c r="A49" s="13">
        <v>50.0</v>
      </c>
      <c r="B49" s="13">
        <v>1.6011873305E11</v>
      </c>
      <c r="C49" s="14" t="s">
        <v>135</v>
      </c>
      <c r="D49" s="15" t="s">
        <v>21</v>
      </c>
      <c r="E49" s="14" t="s">
        <v>136</v>
      </c>
      <c r="F49" s="16" t="s">
        <v>66</v>
      </c>
      <c r="G49" s="16" t="s">
        <v>104</v>
      </c>
      <c r="H49" s="16" t="s">
        <v>75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>
        <f>IFERROR(__xludf.DUMMYFUNCTION("MAX(VALUE(IF(REGEXMATCH($F49, "" ""), LEFT($F49, (FIND("" "", $F49, 1) - 1)), 0)), VALUE(IF(REGEXMATCH($H49, "" ""), LEFT($H49, (FIND("" "", $H49, 1) - 1)), 0)), VALUE(IF(REGEXMATCH($J49, "" ""), LEFT($J49, (FIND("" "", $J49, 1) - 1)), 0)), VALUE(IF(REGEX"&amp;"MATCH($L49, "" ""), LEFT($L49, (FIND("" "", $L49, 1) - 1)), 0)), VALUE(IF(REGEXMATCH($N49, "" ""), LEFT($N49, (FIND("" "", $N49, 1) - 1)), 0)), VALUE(IF(REGEXMATCH($P49, "" ""), LEFT($P49, (FIND("" "", $P49, 1) - 1)), 0)), VALUE(IF(REGEXMATCH($R49, "" "")"&amp;", LEFT($R49, (FIND("" "", $R49, 1) - 1)), 0)), VALUE(IF(REGEXMATCH($T49, "" ""), LEFT($T49, (FIND("" "", $T49, 1) - 1)), 0)), VALUE(IF(REGEXMATCH($V49, "" ""), LEFT($V49, (FIND("" "", $V49, 1) - 1)), 0)))"),7.6)</f>
        <v>7.6</v>
      </c>
      <c r="X49" s="17">
        <f t="shared" si="1"/>
        <v>9.5</v>
      </c>
    </row>
    <row r="50">
      <c r="A50" s="13">
        <v>51.0</v>
      </c>
      <c r="B50" s="13">
        <v>1.60118733051E11</v>
      </c>
      <c r="C50" s="14" t="s">
        <v>137</v>
      </c>
      <c r="D50" s="20" t="s">
        <v>21</v>
      </c>
      <c r="E50" s="16" t="s">
        <v>93</v>
      </c>
      <c r="F50" s="16" t="s">
        <v>94</v>
      </c>
      <c r="G50" s="16" t="s">
        <v>138</v>
      </c>
      <c r="H50" s="16" t="s">
        <v>139</v>
      </c>
      <c r="I50" s="16" t="s">
        <v>130</v>
      </c>
      <c r="J50" s="16" t="s">
        <v>131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>
        <f>IFERROR(__xludf.DUMMYFUNCTION("MAX(VALUE(IF(REGEXMATCH($F50, "" ""), LEFT($F50, (FIND("" "", $F50, 1) - 1)), 0)), VALUE(IF(REGEXMATCH($H50, "" ""), LEFT($H50, (FIND("" "", $H50, 1) - 1)), 0)), VALUE(IF(REGEXMATCH($J50, "" ""), LEFT($J50, (FIND("" "", $J50, 1) - 1)), 0)), VALUE(IF(REGEX"&amp;"MATCH($L50, "" ""), LEFT($L50, (FIND("" "", $L50, 1) - 1)), 0)), VALUE(IF(REGEXMATCH($N50, "" ""), LEFT($N50, (FIND("" "", $N50, 1) - 1)), 0)), VALUE(IF(REGEXMATCH($P50, "" ""), LEFT($P50, (FIND("" "", $P50, 1) - 1)), 0)), VALUE(IF(REGEXMATCH($R50, "" "")"&amp;", LEFT($R50, (FIND("" "", $R50, 1) - 1)), 0)), VALUE(IF(REGEXMATCH($T50, "" ""), LEFT($T50, (FIND("" "", $T50, 1) - 1)), 0)), VALUE(IF(REGEXMATCH($V50, "" ""), LEFT($V50, (FIND("" "", $V50, 1) - 1)), 0)))"),25.0)</f>
        <v>25</v>
      </c>
      <c r="X50" s="17">
        <f t="shared" si="1"/>
        <v>31.25</v>
      </c>
    </row>
    <row r="51">
      <c r="A51" s="13">
        <v>52.0</v>
      </c>
      <c r="B51" s="13">
        <v>1.60118733052E11</v>
      </c>
      <c r="C51" s="14" t="s">
        <v>140</v>
      </c>
      <c r="D51" s="15" t="s">
        <v>21</v>
      </c>
      <c r="E51" s="14" t="s">
        <v>24</v>
      </c>
      <c r="F51" s="14" t="s">
        <v>25</v>
      </c>
      <c r="G51" s="14" t="s">
        <v>29</v>
      </c>
      <c r="H51" s="16" t="s">
        <v>30</v>
      </c>
      <c r="I51" s="16" t="s">
        <v>33</v>
      </c>
      <c r="J51" s="16" t="s">
        <v>34</v>
      </c>
      <c r="K51" s="16" t="s">
        <v>45</v>
      </c>
      <c r="L51" s="16" t="s">
        <v>46</v>
      </c>
      <c r="M51" s="18" t="s">
        <v>141</v>
      </c>
      <c r="N51" s="18" t="s">
        <v>142</v>
      </c>
      <c r="O51" s="18" t="s">
        <v>143</v>
      </c>
      <c r="P51" s="18" t="s">
        <v>144</v>
      </c>
      <c r="Q51" s="16"/>
      <c r="R51" s="16"/>
      <c r="S51" s="16"/>
      <c r="T51" s="16"/>
      <c r="U51" s="16"/>
      <c r="V51" s="16"/>
      <c r="W51" s="17">
        <f>IFERROR(__xludf.DUMMYFUNCTION("MAX(VALUE(IF(REGEXMATCH($F51, "" ""), LEFT($F51, (FIND("" "", $F51, 1) - 1)), 0)), VALUE(IF(REGEXMATCH($H51, "" ""), LEFT($H51, (FIND("" "", $H51, 1) - 1)), 0)), VALUE(IF(REGEXMATCH($J51, "" ""), LEFT($J51, (FIND("" "", $J51, 1) - 1)), 0)), VALUE(IF(REGEX"&amp;"MATCH($L51, "" ""), LEFT($L51, (FIND("" "", $L51, 1) - 1)), 0)), VALUE(IF(REGEXMATCH($N51, "" ""), LEFT($N51, (FIND("" "", $N51, 1) - 1)), 0)), VALUE(IF(REGEXMATCH($P51, "" ""), LEFT($P51, (FIND("" "", $P51, 1) - 1)), 0)), VALUE(IF(REGEXMATCH($R51, "" "")"&amp;", LEFT($R51, (FIND("" "", $R51, 1) - 1)), 0)), VALUE(IF(REGEXMATCH($T51, "" ""), LEFT($T51, (FIND("" "", $T51, 1) - 1)), 0)), VALUE(IF(REGEXMATCH($V51, "" ""), LEFT($V51, (FIND("" "", $V51, 1) - 1)), 0)))"),14.5)</f>
        <v>14.5</v>
      </c>
      <c r="X51" s="17">
        <f t="shared" si="1"/>
        <v>18.125</v>
      </c>
    </row>
    <row r="52">
      <c r="A52" s="13">
        <v>53.0</v>
      </c>
      <c r="B52" s="13">
        <v>1.60118733053E11</v>
      </c>
      <c r="C52" s="14" t="s">
        <v>145</v>
      </c>
      <c r="D52" s="14"/>
      <c r="E52" s="14"/>
      <c r="F52" s="14"/>
      <c r="G52" s="14"/>
      <c r="H52" s="14"/>
      <c r="I52" s="14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>
        <f>IFERROR(__xludf.DUMMYFUNCTION("MAX(VALUE(IF(REGEXMATCH($F52, "" ""), LEFT($F52, (FIND("" "", $F52, 1) - 1)), 0)), VALUE(IF(REGEXMATCH($H52, "" ""), LEFT($H52, (FIND("" "", $H52, 1) - 1)), 0)), VALUE(IF(REGEXMATCH($J52, "" ""), LEFT($J52, (FIND("" "", $J52, 1) - 1)), 0)), VALUE(IF(REGEX"&amp;"MATCH($L52, "" ""), LEFT($L52, (FIND("" "", $L52, 1) - 1)), 0)), VALUE(IF(REGEXMATCH($N52, "" ""), LEFT($N52, (FIND("" "", $N52, 1) - 1)), 0)), VALUE(IF(REGEXMATCH($P52, "" ""), LEFT($P52, (FIND("" "", $P52, 1) - 1)), 0)), VALUE(IF(REGEXMATCH($R52, "" "")"&amp;", LEFT($R52, (FIND("" "", $R52, 1) - 1)), 0)), VALUE(IF(REGEXMATCH($T52, "" ""), LEFT($T52, (FIND("" "", $T52, 1) - 1)), 0)), VALUE(IF(REGEXMATCH($V52, "" ""), LEFT($V52, (FIND("" "", $V52, 1) - 1)), 0)))"),0.0)</f>
        <v>0</v>
      </c>
      <c r="X52" s="17">
        <f t="shared" si="1"/>
        <v>0</v>
      </c>
    </row>
    <row r="53">
      <c r="A53" s="13">
        <v>54.0</v>
      </c>
      <c r="B53" s="13">
        <v>1.60118733054E11</v>
      </c>
      <c r="C53" s="14" t="s">
        <v>146</v>
      </c>
      <c r="D53" s="15" t="s">
        <v>21</v>
      </c>
      <c r="E53" s="14" t="s">
        <v>53</v>
      </c>
      <c r="F53" s="14" t="s">
        <v>54</v>
      </c>
      <c r="G53" s="14"/>
      <c r="H53" s="14"/>
      <c r="I53" s="16"/>
      <c r="J53" s="14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>
        <f>IFERROR(__xludf.DUMMYFUNCTION("MAX(VALUE(IF(REGEXMATCH($F53, "" ""), LEFT($F53, (FIND("" "", $F53, 1) - 1)), 0)), VALUE(IF(REGEXMATCH($H53, "" ""), LEFT($H53, (FIND("" "", $H53, 1) - 1)), 0)), VALUE(IF(REGEXMATCH($J53, "" ""), LEFT($J53, (FIND("" "", $J53, 1) - 1)), 0)), VALUE(IF(REGEX"&amp;"MATCH($L53, "" ""), LEFT($L53, (FIND("" "", $L53, 1) - 1)), 0)), VALUE(IF(REGEXMATCH($N53, "" ""), LEFT($N53, (FIND("" "", $N53, 1) - 1)), 0)), VALUE(IF(REGEXMATCH($P53, "" ""), LEFT($P53, (FIND("" "", $P53, 1) - 1)), 0)), VALUE(IF(REGEXMATCH($R53, "" "")"&amp;", LEFT($R53, (FIND("" "", $R53, 1) - 1)), 0)), VALUE(IF(REGEXMATCH($T53, "" ""), LEFT($T53, (FIND("" "", $T53, 1) - 1)), 0)), VALUE(IF(REGEXMATCH($V53, "" ""), LEFT($V53, (FIND("" "", $V53, 1) - 1)), 0)))"),8.1)</f>
        <v>8.1</v>
      </c>
      <c r="X53" s="17">
        <f t="shared" si="1"/>
        <v>10.125</v>
      </c>
    </row>
    <row r="54">
      <c r="A54" s="13">
        <v>56.0</v>
      </c>
      <c r="B54" s="13">
        <v>1.60118733056E11</v>
      </c>
      <c r="C54" s="14" t="s">
        <v>147</v>
      </c>
      <c r="D54" s="20" t="s">
        <v>21</v>
      </c>
      <c r="E54" s="16" t="s">
        <v>148</v>
      </c>
      <c r="F54" s="16" t="s">
        <v>142</v>
      </c>
      <c r="G54" s="16" t="s">
        <v>29</v>
      </c>
      <c r="H54" s="16" t="s">
        <v>30</v>
      </c>
      <c r="I54" s="18" t="s">
        <v>149</v>
      </c>
      <c r="J54" s="18" t="s">
        <v>73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>
        <f>IFERROR(__xludf.DUMMYFUNCTION("MAX(VALUE(IF(REGEXMATCH($F54, "" ""), LEFT($F54, (FIND("" "", $F54, 1) - 1)), 0)), VALUE(IF(REGEXMATCH($H54, "" ""), LEFT($H54, (FIND("" "", $H54, 1) - 1)), 0)), VALUE(IF(REGEXMATCH($J54, "" ""), LEFT($J54, (FIND("" "", $J54, 1) - 1)), 0)), VALUE(IF(REGEX"&amp;"MATCH($L54, "" ""), LEFT($L54, (FIND("" "", $L54, 1) - 1)), 0)), VALUE(IF(REGEXMATCH($N54, "" ""), LEFT($N54, (FIND("" "", $N54, 1) - 1)), 0)), VALUE(IF(REGEXMATCH($P54, "" ""), LEFT($P54, (FIND("" "", $P54, 1) - 1)), 0)), VALUE(IF(REGEXMATCH($R54, "" "")"&amp;", LEFT($R54, (FIND("" "", $R54, 1) - 1)), 0)), VALUE(IF(REGEXMATCH($T54, "" ""), LEFT($T54, (FIND("" "", $T54, 1) - 1)), 0)), VALUE(IF(REGEXMATCH($V54, "" ""), LEFT($V54, (FIND("" "", $V54, 1) - 1)), 0)))"),8.0)</f>
        <v>8</v>
      </c>
      <c r="X54" s="17">
        <f t="shared" si="1"/>
        <v>10</v>
      </c>
    </row>
    <row r="55">
      <c r="A55" s="13">
        <v>58.0</v>
      </c>
      <c r="B55" s="13">
        <v>1.60118733058E11</v>
      </c>
      <c r="C55" s="14" t="s">
        <v>150</v>
      </c>
      <c r="D55" s="15" t="s">
        <v>21</v>
      </c>
      <c r="E55" s="14" t="s">
        <v>24</v>
      </c>
      <c r="F55" s="16" t="s">
        <v>25</v>
      </c>
      <c r="G55" s="16" t="s">
        <v>130</v>
      </c>
      <c r="H55" s="16" t="s">
        <v>39</v>
      </c>
      <c r="I55" s="16" t="s">
        <v>151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7">
        <f>IFERROR(__xludf.DUMMYFUNCTION("MAX(VALUE(IF(REGEXMATCH($F55, "" ""), LEFT($F55, (FIND("" "", $F55, 1) - 1)), 0)), VALUE(IF(REGEXMATCH($H55, "" ""), LEFT($H55, (FIND("" "", $H55, 1) - 1)), 0)), VALUE(IF(REGEXMATCH($J55, "" ""), LEFT($J55, (FIND("" "", $J55, 1) - 1)), 0)), VALUE(IF(REGEX"&amp;"MATCH($L55, "" ""), LEFT($L55, (FIND("" "", $L55, 1) - 1)), 0)), VALUE(IF(REGEXMATCH($N55, "" ""), LEFT($N55, (FIND("" "", $N55, 1) - 1)), 0)), VALUE(IF(REGEXMATCH($P55, "" ""), LEFT($P55, (FIND("" "", $P55, 1) - 1)), 0)), VALUE(IF(REGEXMATCH($R55, "" "")"&amp;", LEFT($R55, (FIND("" "", $R55, 1) - 1)), 0)), VALUE(IF(REGEXMATCH($T55, "" ""), LEFT($T55, (FIND("" "", $T55, 1) - 1)), 0)), VALUE(IF(REGEXMATCH($V55, "" ""), LEFT($V55, (FIND("" "", $V55, 1) - 1)), 0)))"),5.0)</f>
        <v>5</v>
      </c>
      <c r="X55" s="17">
        <f t="shared" si="1"/>
        <v>6.25</v>
      </c>
    </row>
    <row r="56">
      <c r="A56" s="13">
        <v>59.0</v>
      </c>
      <c r="B56" s="13">
        <v>1.60118733059E11</v>
      </c>
      <c r="C56" s="14" t="s">
        <v>152</v>
      </c>
      <c r="D56" s="20"/>
      <c r="E56" s="16" t="s">
        <v>90</v>
      </c>
      <c r="F56" s="16" t="s">
        <v>91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>
        <f>IFERROR(__xludf.DUMMYFUNCTION("MAX(VALUE(IF(REGEXMATCH($F56, "" ""), LEFT($F56, (FIND("" "", $F56, 1) - 1)), 0)), VALUE(IF(REGEXMATCH($H56, "" ""), LEFT($H56, (FIND("" "", $H56, 1) - 1)), 0)), VALUE(IF(REGEXMATCH($J56, "" ""), LEFT($J56, (FIND("" "", $J56, 1) - 1)), 0)), VALUE(IF(REGEX"&amp;"MATCH($L56, "" ""), LEFT($L56, (FIND("" "", $L56, 1) - 1)), 0)), VALUE(IF(REGEXMATCH($N56, "" ""), LEFT($N56, (FIND("" "", $N56, 1) - 1)), 0)), VALUE(IF(REGEXMATCH($P56, "" ""), LEFT($P56, (FIND("" "", $P56, 1) - 1)), 0)), VALUE(IF(REGEXMATCH($R56, "" "")"&amp;", LEFT($R56, (FIND("" "", $R56, 1) - 1)), 0)), VALUE(IF(REGEXMATCH($T56, "" ""), LEFT($T56, (FIND("" "", $T56, 1) - 1)), 0)), VALUE(IF(REGEXMATCH($V56, "" ""), LEFT($V56, (FIND("" "", $V56, 1) - 1)), 0)))"),12.73)</f>
        <v>12.73</v>
      </c>
      <c r="X56" s="17">
        <f t="shared" si="1"/>
        <v>15.9125</v>
      </c>
    </row>
    <row r="57">
      <c r="A57" s="13">
        <v>60.0</v>
      </c>
      <c r="B57" s="13">
        <v>1.6011873306E11</v>
      </c>
      <c r="C57" s="14" t="s">
        <v>153</v>
      </c>
      <c r="D57" s="20" t="s">
        <v>21</v>
      </c>
      <c r="E57" s="14" t="s">
        <v>124</v>
      </c>
      <c r="F57" s="14" t="s">
        <v>125</v>
      </c>
      <c r="G57" s="14" t="s">
        <v>138</v>
      </c>
      <c r="H57" s="16" t="s">
        <v>139</v>
      </c>
      <c r="I57" s="16" t="s">
        <v>45</v>
      </c>
      <c r="J57" s="16" t="s">
        <v>46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7">
        <f>IFERROR(__xludf.DUMMYFUNCTION("MAX(VALUE(IF(REGEXMATCH($F57, "" ""), LEFT($F57, (FIND("" "", $F57, 1) - 1)), 0)), VALUE(IF(REGEXMATCH($H57, "" ""), LEFT($H57, (FIND("" "", $H57, 1) - 1)), 0)), VALUE(IF(REGEXMATCH($J57, "" ""), LEFT($J57, (FIND("" "", $J57, 1) - 1)), 0)), VALUE(IF(REGEX"&amp;"MATCH($L57, "" ""), LEFT($L57, (FIND("" "", $L57, 1) - 1)), 0)), VALUE(IF(REGEXMATCH($N57, "" ""), LEFT($N57, (FIND("" "", $N57, 1) - 1)), 0)), VALUE(IF(REGEXMATCH($P57, "" ""), LEFT($P57, (FIND("" "", $P57, 1) - 1)), 0)), VALUE(IF(REGEXMATCH($R57, "" "")"&amp;", LEFT($R57, (FIND("" "", $R57, 1) - 1)), 0)), VALUE(IF(REGEXMATCH($T57, "" ""), LEFT($T57, (FIND("" "", $T57, 1) - 1)), 0)), VALUE(IF(REGEXMATCH($V57, "" ""), LEFT($V57, (FIND("" "", $V57, 1) - 1)), 0)))"),25.0)</f>
        <v>25</v>
      </c>
      <c r="X57" s="17">
        <f t="shared" si="1"/>
        <v>31.25</v>
      </c>
    </row>
    <row r="58">
      <c r="A58" s="13">
        <v>61.0</v>
      </c>
      <c r="B58" s="13">
        <v>1.60118733181E11</v>
      </c>
      <c r="C58" s="14" t="s">
        <v>154</v>
      </c>
      <c r="D58" s="20" t="s">
        <v>21</v>
      </c>
      <c r="E58" s="16" t="s">
        <v>155</v>
      </c>
      <c r="F58" s="16" t="s">
        <v>66</v>
      </c>
      <c r="G58" s="16" t="s">
        <v>156</v>
      </c>
      <c r="H58" s="16" t="s">
        <v>157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>
        <f>IFERROR(__xludf.DUMMYFUNCTION("MAX(VALUE(IF(REGEXMATCH($F58, "" ""), LEFT($F58, (FIND("" "", $F58, 1) - 1)), 0)), VALUE(IF(REGEXMATCH($H58, "" ""), LEFT($H58, (FIND("" "", $H58, 1) - 1)), 0)), VALUE(IF(REGEXMATCH($J58, "" ""), LEFT($J58, (FIND("" "", $J58, 1) - 1)), 0)), VALUE(IF(REGEX"&amp;"MATCH($L58, "" ""), LEFT($L58, (FIND("" "", $L58, 1) - 1)), 0)), VALUE(IF(REGEXMATCH($N58, "" ""), LEFT($N58, (FIND("" "", $N58, 1) - 1)), 0)), VALUE(IF(REGEXMATCH($P58, "" ""), LEFT($P58, (FIND("" "", $P58, 1) - 1)), 0)), VALUE(IF(REGEXMATCH($R58, "" "")"&amp;", LEFT($R58, (FIND("" "", $R58, 1) - 1)), 0)), VALUE(IF(REGEXMATCH($T58, "" ""), LEFT($T58, (FIND("" "", $T58, 1) - 1)), 0)), VALUE(IF(REGEXMATCH($V58, "" ""), LEFT($V58, (FIND("" "", $V58, 1) - 1)), 0)))"),16.64)</f>
        <v>16.64</v>
      </c>
      <c r="X58" s="17">
        <f t="shared" si="1"/>
        <v>20.8</v>
      </c>
    </row>
    <row r="59">
      <c r="A59" s="13">
        <v>62.0</v>
      </c>
      <c r="B59" s="13">
        <v>1.60118733182E11</v>
      </c>
      <c r="C59" s="14" t="s">
        <v>158</v>
      </c>
      <c r="D59" s="15"/>
      <c r="E59" s="14" t="s">
        <v>82</v>
      </c>
      <c r="F59" s="14" t="s">
        <v>66</v>
      </c>
      <c r="G59" s="14"/>
      <c r="H59" s="14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>
        <f>IFERROR(__xludf.DUMMYFUNCTION("MAX(VALUE(IF(REGEXMATCH($F59, "" ""), LEFT($F59, (FIND("" "", $F59, 1) - 1)), 0)), VALUE(IF(REGEXMATCH($H59, "" ""), LEFT($H59, (FIND("" "", $H59, 1) - 1)), 0)), VALUE(IF(REGEXMATCH($J59, "" ""), LEFT($J59, (FIND("" "", $J59, 1) - 1)), 0)), VALUE(IF(REGEX"&amp;"MATCH($L59, "" ""), LEFT($L59, (FIND("" "", $L59, 1) - 1)), 0)), VALUE(IF(REGEXMATCH($N59, "" ""), LEFT($N59, (FIND("" "", $N59, 1) - 1)), 0)), VALUE(IF(REGEXMATCH($P59, "" ""), LEFT($P59, (FIND("" "", $P59, 1) - 1)), 0)), VALUE(IF(REGEXMATCH($R59, "" "")"&amp;", LEFT($R59, (FIND("" "", $R59, 1) - 1)), 0)), VALUE(IF(REGEXMATCH($T59, "" ""), LEFT($T59, (FIND("" "", $T59, 1) - 1)), 0)), VALUE(IF(REGEXMATCH($V59, "" ""), LEFT($V59, (FIND("" "", $V59, 1) - 1)), 0)))"),7.6)</f>
        <v>7.6</v>
      </c>
      <c r="X59" s="17">
        <f t="shared" si="1"/>
        <v>9.5</v>
      </c>
    </row>
    <row r="60">
      <c r="A60" s="13">
        <v>63.0</v>
      </c>
      <c r="B60" s="13">
        <v>1.60118733301E11</v>
      </c>
      <c r="C60" s="14" t="s">
        <v>159</v>
      </c>
      <c r="D60" s="15" t="s">
        <v>21</v>
      </c>
      <c r="E60" s="14" t="s">
        <v>44</v>
      </c>
      <c r="F60" s="16" t="s">
        <v>42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7">
        <f>IFERROR(__xludf.DUMMYFUNCTION("MAX(VALUE(IF(REGEXMATCH($F60, "" ""), LEFT($F60, (FIND("" "", $F60, 1) - 1)), 0)), VALUE(IF(REGEXMATCH($H60, "" ""), LEFT($H60, (FIND("" "", $H60, 1) - 1)), 0)), VALUE(IF(REGEXMATCH($J60, "" ""), LEFT($J60, (FIND("" "", $J60, 1) - 1)), 0)), VALUE(IF(REGEX"&amp;"MATCH($L60, "" ""), LEFT($L60, (FIND("" "", $L60, 1) - 1)), 0)), VALUE(IF(REGEXMATCH($N60, "" ""), LEFT($N60, (FIND("" "", $N60, 1) - 1)), 0)), VALUE(IF(REGEXMATCH($P60, "" ""), LEFT($P60, (FIND("" "", $P60, 1) - 1)), 0)), VALUE(IF(REGEXMATCH($R60, "" "")"&amp;", LEFT($R60, (FIND("" "", $R60, 1) - 1)), 0)), VALUE(IF(REGEXMATCH($T60, "" ""), LEFT($T60, (FIND("" "", $T60, 1) - 1)), 0)), VALUE(IF(REGEXMATCH($V60, "" ""), LEFT($V60, (FIND("" "", $V60, 1) - 1)), 0)))"),14.0)</f>
        <v>14</v>
      </c>
      <c r="X60" s="17">
        <f t="shared" si="1"/>
        <v>17.5</v>
      </c>
    </row>
    <row r="61">
      <c r="A61" s="13">
        <v>64.0</v>
      </c>
      <c r="B61" s="13">
        <v>1.60118733302E11</v>
      </c>
      <c r="C61" s="14" t="s">
        <v>160</v>
      </c>
      <c r="D61" s="15"/>
      <c r="E61" s="14" t="s">
        <v>38</v>
      </c>
      <c r="F61" s="14" t="s">
        <v>39</v>
      </c>
      <c r="G61" s="14"/>
      <c r="H61" s="14"/>
      <c r="I61" s="14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>
        <f>IFERROR(__xludf.DUMMYFUNCTION("MAX(VALUE(IF(REGEXMATCH($F61, "" ""), LEFT($F61, (FIND("" "", $F61, 1) - 1)), 0)), VALUE(IF(REGEXMATCH($H61, "" ""), LEFT($H61, (FIND("" "", $H61, 1) - 1)), 0)), VALUE(IF(REGEXMATCH($J61, "" ""), LEFT($J61, (FIND("" "", $J61, 1) - 1)), 0)), VALUE(IF(REGEX"&amp;"MATCH($L61, "" ""), LEFT($L61, (FIND("" "", $L61, 1) - 1)), 0)), VALUE(IF(REGEXMATCH($N61, "" ""), LEFT($N61, (FIND("" "", $N61, 1) - 1)), 0)), VALUE(IF(REGEXMATCH($P61, "" ""), LEFT($P61, (FIND("" "", $P61, 1) - 1)), 0)), VALUE(IF(REGEXMATCH($R61, "" "")"&amp;", LEFT($R61, (FIND("" "", $R61, 1) - 1)), 0)), VALUE(IF(REGEXMATCH($T61, "" ""), LEFT($T61, (FIND("" "", $T61, 1) - 1)), 0)), VALUE(IF(REGEXMATCH($V61, "" ""), LEFT($V61, (FIND("" "", $V61, 1) - 1)), 0)))"),5.0)</f>
        <v>5</v>
      </c>
      <c r="X61" s="17">
        <f t="shared" si="1"/>
        <v>6.25</v>
      </c>
    </row>
    <row r="62">
      <c r="A62" s="13">
        <v>65.0</v>
      </c>
      <c r="B62" s="13">
        <v>1.60118733303E11</v>
      </c>
      <c r="C62" s="14" t="s">
        <v>161</v>
      </c>
      <c r="D62" s="15" t="s">
        <v>21</v>
      </c>
      <c r="E62" s="14" t="s">
        <v>127</v>
      </c>
      <c r="F62" s="14" t="s">
        <v>73</v>
      </c>
      <c r="G62" s="14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>
        <f>IFERROR(__xludf.DUMMYFUNCTION("MAX(VALUE(IF(REGEXMATCH($F62, "" ""), LEFT($F62, (FIND("" "", $F62, 1) - 1)), 0)), VALUE(IF(REGEXMATCH($H62, "" ""), LEFT($H62, (FIND("" "", $H62, 1) - 1)), 0)), VALUE(IF(REGEXMATCH($J62, "" ""), LEFT($J62, (FIND("" "", $J62, 1) - 1)), 0)), VALUE(IF(REGEX"&amp;"MATCH($L62, "" ""), LEFT($L62, (FIND("" "", $L62, 1) - 1)), 0)), VALUE(IF(REGEXMATCH($N62, "" ""), LEFT($N62, (FIND("" "", $N62, 1) - 1)), 0)), VALUE(IF(REGEXMATCH($P62, "" ""), LEFT($P62, (FIND("" "", $P62, 1) - 1)), 0)), VALUE(IF(REGEXMATCH($R62, "" "")"&amp;", LEFT($R62, (FIND("" "", $R62, 1) - 1)), 0)), VALUE(IF(REGEXMATCH($T62, "" ""), LEFT($T62, (FIND("" "", $T62, 1) - 1)), 0)), VALUE(IF(REGEXMATCH($V62, "" ""), LEFT($V62, (FIND("" "", $V62, 1) - 1)), 0)))"),8.0)</f>
        <v>8</v>
      </c>
      <c r="X62" s="17">
        <f t="shared" si="1"/>
        <v>10</v>
      </c>
    </row>
    <row r="63">
      <c r="A63" s="13">
        <v>66.0</v>
      </c>
      <c r="B63" s="13">
        <v>1.60118733304E11</v>
      </c>
      <c r="C63" s="14" t="s">
        <v>162</v>
      </c>
      <c r="D63" s="15"/>
      <c r="E63" s="14" t="s">
        <v>27</v>
      </c>
      <c r="F63" s="16" t="s">
        <v>28</v>
      </c>
      <c r="G63" s="16" t="s">
        <v>38</v>
      </c>
      <c r="H63" s="16" t="s">
        <v>39</v>
      </c>
      <c r="I63" s="16" t="s">
        <v>33</v>
      </c>
      <c r="J63" s="16" t="s">
        <v>34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>
        <f>IFERROR(__xludf.DUMMYFUNCTION("MAX(VALUE(IF(REGEXMATCH($F63, "" ""), LEFT($F63, (FIND("" "", $F63, 1) - 1)), 0)), VALUE(IF(REGEXMATCH($H63, "" ""), LEFT($H63, (FIND("" "", $H63, 1) - 1)), 0)), VALUE(IF(REGEXMATCH($J63, "" ""), LEFT($J63, (FIND("" "", $J63, 1) - 1)), 0)), VALUE(IF(REGEX"&amp;"MATCH($L63, "" ""), LEFT($L63, (FIND("" "", $L63, 1) - 1)), 0)), VALUE(IF(REGEXMATCH($N63, "" ""), LEFT($N63, (FIND("" "", $N63, 1) - 1)), 0)), VALUE(IF(REGEXMATCH($P63, "" ""), LEFT($P63, (FIND("" "", $P63, 1) - 1)), 0)), VALUE(IF(REGEXMATCH($R63, "" "")"&amp;", LEFT($R63, (FIND("" "", $R63, 1) - 1)), 0)), VALUE(IF(REGEXMATCH($T63, "" ""), LEFT($T63, (FIND("" "", $T63, 1) - 1)), 0)), VALUE(IF(REGEXMATCH($V63, "" ""), LEFT($V63, (FIND("" "", $V63, 1) - 1)), 0)))"),5.0)</f>
        <v>5</v>
      </c>
      <c r="X63" s="17">
        <f t="shared" si="1"/>
        <v>6.25</v>
      </c>
    </row>
    <row r="64">
      <c r="A64" s="13">
        <v>67.0</v>
      </c>
      <c r="B64" s="13">
        <v>1.60118733305E11</v>
      </c>
      <c r="C64" s="14" t="s">
        <v>163</v>
      </c>
      <c r="D64" s="15"/>
      <c r="E64" s="14" t="s">
        <v>82</v>
      </c>
      <c r="F64" s="16" t="s">
        <v>66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7">
        <f>IFERROR(__xludf.DUMMYFUNCTION("MAX(VALUE(IF(REGEXMATCH($F64, "" ""), LEFT($F64, (FIND("" "", $F64, 1) - 1)), 0)), VALUE(IF(REGEXMATCH($H64, "" ""), LEFT($H64, (FIND("" "", $H64, 1) - 1)), 0)), VALUE(IF(REGEXMATCH($J64, "" ""), LEFT($J64, (FIND("" "", $J64, 1) - 1)), 0)), VALUE(IF(REGEX"&amp;"MATCH($L64, "" ""), LEFT($L64, (FIND("" "", $L64, 1) - 1)), 0)), VALUE(IF(REGEXMATCH($N64, "" ""), LEFT($N64, (FIND("" "", $N64, 1) - 1)), 0)), VALUE(IF(REGEXMATCH($P64, "" ""), LEFT($P64, (FIND("" "", $P64, 1) - 1)), 0)), VALUE(IF(REGEXMATCH($R64, "" "")"&amp;", LEFT($R64, (FIND("" "", $R64, 1) - 1)), 0)), VALUE(IF(REGEXMATCH($T64, "" ""), LEFT($T64, (FIND("" "", $T64, 1) - 1)), 0)), VALUE(IF(REGEXMATCH($V64, "" ""), LEFT($V64, (FIND("" "", $V64, 1) - 1)), 0)))"),7.6)</f>
        <v>7.6</v>
      </c>
      <c r="X64" s="17">
        <f t="shared" si="1"/>
        <v>9.5</v>
      </c>
    </row>
    <row r="65">
      <c r="A65" s="13">
        <v>68.0</v>
      </c>
      <c r="B65" s="13">
        <v>1.60118733306E11</v>
      </c>
      <c r="C65" s="14" t="s">
        <v>164</v>
      </c>
      <c r="D65" s="15"/>
      <c r="E65" s="14" t="s">
        <v>33</v>
      </c>
      <c r="F65" s="16" t="s">
        <v>34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>
        <f>IFERROR(__xludf.DUMMYFUNCTION("MAX(VALUE(IF(REGEXMATCH($F65, "" ""), LEFT($F65, (FIND("" "", $F65, 1) - 1)), 0)), VALUE(IF(REGEXMATCH($H65, "" ""), LEFT($H65, (FIND("" "", $H65, 1) - 1)), 0)), VALUE(IF(REGEXMATCH($J65, "" ""), LEFT($J65, (FIND("" "", $J65, 1) - 1)), 0)), VALUE(IF(REGEX"&amp;"MATCH($L65, "" ""), LEFT($L65, (FIND("" "", $L65, 1) - 1)), 0)), VALUE(IF(REGEXMATCH($N65, "" ""), LEFT($N65, (FIND("" "", $N65, 1) - 1)), 0)), VALUE(IF(REGEXMATCH($P65, "" ""), LEFT($P65, (FIND("" "", $P65, 1) - 1)), 0)), VALUE(IF(REGEXMATCH($R65, "" "")"&amp;", LEFT($R65, (FIND("" "", $R65, 1) - 1)), 0)), VALUE(IF(REGEXMATCH($T65, "" ""), LEFT($T65, (FIND("" "", $T65, 1) - 1)), 0)), VALUE(IF(REGEXMATCH($V65, "" ""), LEFT($V65, (FIND("" "", $V65, 1) - 1)), 0)))"),3.5)</f>
        <v>3.5</v>
      </c>
      <c r="X65" s="17">
        <f t="shared" si="1"/>
        <v>4.375</v>
      </c>
    </row>
    <row r="66">
      <c r="A66" s="13">
        <v>69.0</v>
      </c>
      <c r="B66" s="13">
        <v>1.60117733015E11</v>
      </c>
      <c r="C66" s="14" t="s">
        <v>165</v>
      </c>
      <c r="D66" s="15"/>
      <c r="E66" s="14" t="s">
        <v>82</v>
      </c>
      <c r="F66" s="16" t="s">
        <v>66</v>
      </c>
      <c r="G66" s="16" t="s">
        <v>90</v>
      </c>
      <c r="H66" s="16" t="s">
        <v>91</v>
      </c>
      <c r="I66" s="16" t="s">
        <v>130</v>
      </c>
      <c r="J66" s="16" t="s">
        <v>39</v>
      </c>
      <c r="K66" s="16" t="s">
        <v>27</v>
      </c>
      <c r="L66" s="16" t="s">
        <v>28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>
        <f>IFERROR(__xludf.DUMMYFUNCTION("MAX(VALUE(IF(REGEXMATCH($F66, "" ""), LEFT($F66, (FIND("" "", $F66, 1) - 1)), 0)), VALUE(IF(REGEXMATCH($H66, "" ""), LEFT($H66, (FIND("" "", $H66, 1) - 1)), 0)), VALUE(IF(REGEXMATCH($J66, "" ""), LEFT($J66, (FIND("" "", $J66, 1) - 1)), 0)), VALUE(IF(REGEX"&amp;"MATCH($L66, "" ""), LEFT($L66, (FIND("" "", $L66, 1) - 1)), 0)), VALUE(IF(REGEXMATCH($N66, "" ""), LEFT($N66, (FIND("" "", $N66, 1) - 1)), 0)), VALUE(IF(REGEXMATCH($P66, "" ""), LEFT($P66, (FIND("" "", $P66, 1) - 1)), 0)), VALUE(IF(REGEXMATCH($R66, "" "")"&amp;", LEFT($R66, (FIND("" "", $R66, 1) - 1)), 0)), VALUE(IF(REGEXMATCH($T66, "" ""), LEFT($T66, (FIND("" "", $T66, 1) - 1)), 0)), VALUE(IF(REGEXMATCH($V66, "" ""), LEFT($V66, (FIND("" "", $V66, 1) - 1)), 0)))"),12.73)</f>
        <v>12.73</v>
      </c>
      <c r="X66" s="17">
        <f t="shared" si="1"/>
        <v>15.9125</v>
      </c>
    </row>
    <row r="67">
      <c r="A67" s="13">
        <v>70.0</v>
      </c>
      <c r="B67" s="13">
        <v>1.60117733027E11</v>
      </c>
      <c r="C67" s="14" t="s">
        <v>166</v>
      </c>
      <c r="D67" s="14"/>
      <c r="E67" s="14"/>
      <c r="F67" s="14"/>
      <c r="G67" s="14"/>
      <c r="H67" s="14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7">
        <f>IFERROR(__xludf.DUMMYFUNCTION("MAX(VALUE(IF(REGEXMATCH($F67, "" ""), LEFT($F67, (FIND("" "", $F67, 1) - 1)), 0)), VALUE(IF(REGEXMATCH($H67, "" ""), LEFT($H67, (FIND("" "", $H67, 1) - 1)), 0)), VALUE(IF(REGEXMATCH($J67, "" ""), LEFT($J67, (FIND("" "", $J67, 1) - 1)), 0)), VALUE(IF(REGEX"&amp;"MATCH($L67, "" ""), LEFT($L67, (FIND("" "", $L67, 1) - 1)), 0)), VALUE(IF(REGEXMATCH($N67, "" ""), LEFT($N67, (FIND("" "", $N67, 1) - 1)), 0)), VALUE(IF(REGEXMATCH($P67, "" ""), LEFT($P67, (FIND("" "", $P67, 1) - 1)), 0)), VALUE(IF(REGEXMATCH($R67, "" "")"&amp;", LEFT($R67, (FIND("" "", $R67, 1) - 1)), 0)), VALUE(IF(REGEXMATCH($T67, "" ""), LEFT($T67, (FIND("" "", $T67, 1) - 1)), 0)), VALUE(IF(REGEXMATCH($V67, "" ""), LEFT($V67, (FIND("" "", $V67, 1) - 1)), 0)))"),0.0)</f>
        <v>0</v>
      </c>
      <c r="X67" s="17">
        <f t="shared" si="1"/>
        <v>0</v>
      </c>
    </row>
    <row r="68">
      <c r="A68" s="13">
        <v>71.0</v>
      </c>
      <c r="B68" s="13">
        <v>1.60117733035E11</v>
      </c>
      <c r="C68" s="14" t="s">
        <v>167</v>
      </c>
      <c r="D68" s="14"/>
      <c r="E68" s="1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>
        <f>IFERROR(__xludf.DUMMYFUNCTION("MAX(VALUE(IF(REGEXMATCH($F68, "" ""), LEFT($F68, (FIND("" "", $F68, 1) - 1)), 0)), VALUE(IF(REGEXMATCH($H68, "" ""), LEFT($H68, (FIND("" "", $H68, 1) - 1)), 0)), VALUE(IF(REGEXMATCH($J68, "" ""), LEFT($J68, (FIND("" "", $J68, 1) - 1)), 0)), VALUE(IF(REGEX"&amp;"MATCH($L68, "" ""), LEFT($L68, (FIND("" "", $L68, 1) - 1)), 0)), VALUE(IF(REGEXMATCH($N68, "" ""), LEFT($N68, (FIND("" "", $N68, 1) - 1)), 0)), VALUE(IF(REGEXMATCH($P68, "" ""), LEFT($P68, (FIND("" "", $P68, 1) - 1)), 0)), VALUE(IF(REGEXMATCH($R68, "" "")"&amp;", LEFT($R68, (FIND("" "", $R68, 1) - 1)), 0)), VALUE(IF(REGEXMATCH($T68, "" ""), LEFT($T68, (FIND("" "", $T68, 1) - 1)), 0)), VALUE(IF(REGEXMATCH($V68, "" ""), LEFT($V68, (FIND("" "", $V68, 1) - 1)), 0)))"),0.0)</f>
        <v>0</v>
      </c>
      <c r="X68" s="17">
        <f t="shared" si="1"/>
        <v>0</v>
      </c>
    </row>
    <row r="69">
      <c r="A69" s="13">
        <v>72.0</v>
      </c>
      <c r="B69" s="13">
        <v>1.60117733039E11</v>
      </c>
      <c r="C69" s="14" t="s">
        <v>168</v>
      </c>
      <c r="D69" s="1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>
        <f>IFERROR(__xludf.DUMMYFUNCTION("MAX(VALUE(IF(REGEXMATCH($F69, "" ""), LEFT($F69, (FIND("" "", $F69, 1) - 1)), 0)), VALUE(IF(REGEXMATCH($H69, "" ""), LEFT($H69, (FIND("" "", $H69, 1) - 1)), 0)), VALUE(IF(REGEXMATCH($J69, "" ""), LEFT($J69, (FIND("" "", $J69, 1) - 1)), 0)), VALUE(IF(REGEX"&amp;"MATCH($L69, "" ""), LEFT($L69, (FIND("" "", $L69, 1) - 1)), 0)), VALUE(IF(REGEXMATCH($N69, "" ""), LEFT($N69, (FIND("" "", $N69, 1) - 1)), 0)), VALUE(IF(REGEXMATCH($P69, "" ""), LEFT($P69, (FIND("" "", $P69, 1) - 1)), 0)), VALUE(IF(REGEXMATCH($R69, "" "")"&amp;", LEFT($R69, (FIND("" "", $R69, 1) - 1)), 0)), VALUE(IF(REGEXMATCH($T69, "" ""), LEFT($T69, (FIND("" "", $T69, 1) - 1)), 0)), VALUE(IF(REGEXMATCH($V69, "" ""), LEFT($V69, (FIND("" "", $V69, 1) - 1)), 0)))"),0.0)</f>
        <v>0</v>
      </c>
      <c r="X69" s="17">
        <f t="shared" si="1"/>
        <v>0</v>
      </c>
    </row>
    <row r="70">
      <c r="A70" s="13">
        <v>73.0</v>
      </c>
      <c r="B70" s="13">
        <v>1.60115733025E11</v>
      </c>
      <c r="C70" s="14" t="s">
        <v>169</v>
      </c>
      <c r="D70" s="15"/>
      <c r="E70" s="14" t="s">
        <v>33</v>
      </c>
      <c r="F70" s="14" t="s">
        <v>34</v>
      </c>
      <c r="G70" s="14" t="s">
        <v>45</v>
      </c>
      <c r="H70" s="14" t="s">
        <v>46</v>
      </c>
      <c r="I70" s="14" t="s">
        <v>170</v>
      </c>
      <c r="J70" s="14" t="s">
        <v>30</v>
      </c>
      <c r="K70" s="18" t="s">
        <v>171</v>
      </c>
      <c r="L70" s="18" t="s">
        <v>125</v>
      </c>
      <c r="M70" s="18" t="s">
        <v>172</v>
      </c>
      <c r="N70" s="18" t="s">
        <v>173</v>
      </c>
      <c r="O70" s="16"/>
      <c r="P70" s="16"/>
      <c r="Q70" s="16"/>
      <c r="R70" s="16"/>
      <c r="S70" s="16"/>
      <c r="T70" s="16"/>
      <c r="U70" s="16"/>
      <c r="V70" s="16"/>
      <c r="W70" s="17">
        <f>IFERROR(__xludf.DUMMYFUNCTION("MAX(VALUE(IF(REGEXMATCH($F70, "" ""), LEFT($F70, (FIND("" "", $F70, 1) - 1)), 0)), VALUE(IF(REGEXMATCH($H70, "" ""), LEFT($H70, (FIND("" "", $H70, 1) - 1)), 0)), VALUE(IF(REGEXMATCH($J70, "" ""), LEFT($J70, (FIND("" "", $J70, 1) - 1)), 0)), VALUE(IF(REGEX"&amp;"MATCH($L70, "" ""), LEFT($L70, (FIND("" "", $L70, 1) - 1)), 0)), VALUE(IF(REGEXMATCH($N70, "" ""), LEFT($N70, (FIND("" "", $N70, 1) - 1)), 0)), VALUE(IF(REGEXMATCH($P70, "" ""), LEFT($P70, (FIND("" "", $P70, 1) - 1)), 0)), VALUE(IF(REGEXMATCH($R70, "" "")"&amp;", LEFT($R70, (FIND("" "", $R70, 1) - 1)), 0)), VALUE(IF(REGEXMATCH($T70, "" ""), LEFT($T70, (FIND("" "", $T70, 1) - 1)), 0)), VALUE(IF(REGEXMATCH($V70, "" ""), LEFT($V70, (FIND("" "", $V70, 1) - 1)), 0)))"),9.0)</f>
        <v>9</v>
      </c>
      <c r="X70" s="17">
        <f t="shared" si="1"/>
        <v>11.25</v>
      </c>
    </row>
    <row r="71">
      <c r="A71" s="22"/>
      <c r="B71" s="22"/>
      <c r="C71" s="14"/>
      <c r="D71" s="16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>
      <c r="A72" s="22"/>
      <c r="B72" s="22"/>
      <c r="C72" s="24" t="s">
        <v>174</v>
      </c>
      <c r="D72" s="17">
        <f>COUNTA(E2:E70)</f>
        <v>56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>
      <c r="A73" s="22"/>
      <c r="B73" s="22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>
      <c r="A74" s="22"/>
      <c r="B74" s="22"/>
      <c r="C74" s="22"/>
      <c r="D74" s="22"/>
      <c r="E74" s="23"/>
      <c r="F74" s="22"/>
      <c r="G74" s="23"/>
      <c r="H74" s="23"/>
      <c r="I74" s="22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85">
      <c r="C85" s="25"/>
    </row>
  </sheetData>
  <conditionalFormatting sqref="A2:F74 G2:G45 H2:H73 I2:I8 J2:J74 K2:K52 L2:U74 I10:I41 I43:I74 G47:G73 K54:K74">
    <cfRule type="expression" dxfId="0" priority="1">
      <formula>ISTEXT(INDEX(FILTER(INDIRECT("Total!$G$2:$G"), REGEXMATCH(lower($D2), lower(INDIRECT("Total!$G$2:$G")))), 1, 1))</formula>
    </cfRule>
  </conditionalFormatting>
  <conditionalFormatting sqref="A2:F74 G2:G45 H2:H73 I2:I8 J2:J74 K2:K52 L2:U74 I10:I41 I43:I74 G47:G73 K54:K74">
    <cfRule type="expression" dxfId="0" priority="2">
      <formula>ISTEXT(INDEX(FILTER(INDIRECT("Total!$G$2:$G"), REGEXMATCH(lower($F2), lower(INDIRECT("Total!$G$2:$G")))), 1, 1))</formula>
    </cfRule>
  </conditionalFormatting>
  <conditionalFormatting sqref="A2:F74 G2:G45 H2:H73 I2:I8 J2:J74 K2:K52 L2:U74 I10:I41 I43:I74 G47:G73 K54:K74">
    <cfRule type="expression" dxfId="0" priority="3">
      <formula>ISTEXT(INDEX(FILTER(INDIRECT("Total!$G$2:$G"), REGEXMATCH(lower($H2), lower(INDIRECT("Total!$G$2:$G")))), 1, 1))</formula>
    </cfRule>
  </conditionalFormatting>
  <conditionalFormatting sqref="A2:F74 G2:G45 H2:H73 I2:I8 J2:J74 K2:K52 L2:U74 I10:I41 I43:I74 G47:G73 K54:K74">
    <cfRule type="expression" dxfId="0" priority="4">
      <formula>ISTEXT(INDEX(FILTER(INDIRECT("Total!$G$2:$G"), REGEXMATCH(lower($J2), lower(INDIRECT("Total!$G$2:$G")))), 1, 1))</formula>
    </cfRule>
  </conditionalFormatting>
  <conditionalFormatting sqref="A2:F74 G2:G45 H2:H73 I2:I8 J2:J74 K2:K52 L2:U74 I10:I41 I43:I74 G47:G73 K54:K74">
    <cfRule type="expression" dxfId="0" priority="5">
      <formula>ISTEXT(INDEX(FILTER(INDIRECT("Total!$G$2:$G"), REGEXMATCH(lower($L2), lower(INDIRECT("Total!$G$2:$G")))), 1, 1))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0"/>
    <col customWidth="1" min="3" max="3" width="30.5"/>
    <col customWidth="1" min="4" max="4" width="11.88"/>
    <col customWidth="1" min="5" max="5" width="23.38"/>
    <col customWidth="1" min="6" max="6" width="8.63"/>
    <col customWidth="1" min="7" max="7" width="20.88"/>
    <col customWidth="1" min="8" max="8" width="8.63"/>
    <col customWidth="1" min="9" max="9" width="23.38"/>
    <col customWidth="1" min="10" max="10" width="7.75"/>
    <col customWidth="1" min="11" max="11" width="23.38"/>
    <col customWidth="1" min="12" max="12" width="7.75"/>
    <col customWidth="1" min="13" max="13" width="18.5"/>
    <col customWidth="1" min="14" max="14" width="7.75"/>
    <col customWidth="1" min="15" max="15" width="19.0"/>
    <col customWidth="1" min="16" max="16" width="7.75"/>
    <col customWidth="1" min="17" max="17" width="21.38"/>
    <col customWidth="1" min="18" max="18" width="7.75"/>
    <col customWidth="1" min="19" max="19" width="20.13"/>
    <col customWidth="1" min="20" max="20" width="7.75"/>
    <col customWidth="1" min="21" max="21" width="19.13"/>
    <col customWidth="1" min="22" max="22" width="7.75"/>
    <col customWidth="1" min="23" max="23" width="14.38"/>
  </cols>
  <sheetData>
    <row r="1">
      <c r="A1" s="26" t="s">
        <v>175</v>
      </c>
      <c r="B1" s="27" t="s">
        <v>1</v>
      </c>
      <c r="C1" s="27" t="s">
        <v>2</v>
      </c>
      <c r="D1" s="28" t="s">
        <v>3</v>
      </c>
      <c r="E1" s="27" t="s">
        <v>4</v>
      </c>
      <c r="F1" s="27" t="s">
        <v>5</v>
      </c>
      <c r="G1" s="27" t="s">
        <v>6</v>
      </c>
      <c r="H1" s="27" t="s">
        <v>5</v>
      </c>
      <c r="I1" s="27" t="s">
        <v>7</v>
      </c>
      <c r="J1" s="27" t="s">
        <v>5</v>
      </c>
      <c r="K1" s="27" t="s">
        <v>8</v>
      </c>
      <c r="L1" s="27" t="s">
        <v>5</v>
      </c>
      <c r="M1" s="27" t="s">
        <v>9</v>
      </c>
      <c r="N1" s="27" t="s">
        <v>5</v>
      </c>
      <c r="O1" s="27" t="s">
        <v>10</v>
      </c>
      <c r="P1" s="27" t="s">
        <v>5</v>
      </c>
      <c r="Q1" s="27" t="s">
        <v>11</v>
      </c>
      <c r="R1" s="27" t="s">
        <v>5</v>
      </c>
      <c r="S1" s="27" t="s">
        <v>12</v>
      </c>
      <c r="T1" s="27" t="s">
        <v>5</v>
      </c>
      <c r="U1" s="27" t="s">
        <v>13</v>
      </c>
      <c r="V1" s="27" t="s">
        <v>5</v>
      </c>
      <c r="W1" s="27" t="s">
        <v>18</v>
      </c>
      <c r="X1" s="29" t="s">
        <v>19</v>
      </c>
    </row>
    <row r="2">
      <c r="A2" s="14">
        <v>1.0</v>
      </c>
      <c r="B2" s="14">
        <v>1.60118733061E11</v>
      </c>
      <c r="C2" s="14" t="s">
        <v>176</v>
      </c>
      <c r="D2" s="30"/>
      <c r="E2" s="14" t="s">
        <v>33</v>
      </c>
      <c r="F2" s="16" t="s">
        <v>34</v>
      </c>
      <c r="G2" s="16" t="s">
        <v>177</v>
      </c>
      <c r="H2" s="16" t="s">
        <v>34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>
        <f>IFERROR(__xludf.DUMMYFUNCTION("MAX(VALUE(IF(REGEXMATCH($F2, "" ""), LEFT($F2, (FIND("" "", $F2, 1) - 1)), 0)), VALUE(IF(REGEXMATCH($H2, "" ""), LEFT($H2, (FIND("" "", $H2, 1) - 1)), 0)), VALUE(IF(REGEXMATCH($J2, "" ""), LEFT($J2, (FIND("" "", $J2, 1) - 1)), 0)), VALUE(IF(REGEXMATCH($L2"&amp;", "" ""), LEFT($L2, (FIND("" "", $L2, 1) - 1)), 0)), VALUE(IF(REGEXMATCH($N2, "" ""), LEFT($N2, (FIND("" "", $N2, 1) - 1)), 0)), VALUE(IF(REGEXMATCH($P2, "" ""), LEFT($P2, (FIND("" "", $P2, 1) - 1)), 0)), VALUE(IF(REGEXMATCH($R2, "" ""), LEFT($R2, (FIND("&amp;""" "", $R2, 1) - 1)), 0)), VALUE(IF(REGEXMATCH($T2, "" ""), LEFT($T2, (FIND("" "", $T2, 1) - 1)), 0)), VALUE(IF(REGEXMATCH($V2, "" ""), LEFT($V2, (FIND("" "", $V2, 1) - 1)), 0)))"),3.5)</f>
        <v>3.5</v>
      </c>
      <c r="X2" s="16">
        <f t="shared" ref="X2:X71" si="1">$W2*1.25</f>
        <v>4.375</v>
      </c>
    </row>
    <row r="3">
      <c r="A3" s="14">
        <v>2.0</v>
      </c>
      <c r="B3" s="31">
        <v>1.60118733062E11</v>
      </c>
      <c r="C3" s="14" t="s">
        <v>178</v>
      </c>
      <c r="D3" s="32" t="s">
        <v>21</v>
      </c>
      <c r="E3" s="14" t="s">
        <v>79</v>
      </c>
      <c r="F3" s="14" t="s">
        <v>80</v>
      </c>
      <c r="G3" s="14" t="s">
        <v>45</v>
      </c>
      <c r="H3" s="16" t="s">
        <v>46</v>
      </c>
      <c r="I3" s="16" t="s">
        <v>179</v>
      </c>
      <c r="J3" s="16" t="s">
        <v>180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>
        <f>IFERROR(__xludf.DUMMYFUNCTION("MAX(VALUE(IF(REGEXMATCH($F3, "" ""), LEFT($F3, (FIND("" "", $F3, 1) - 1)), 0)), VALUE(IF(REGEXMATCH($H3, "" ""), LEFT($H3, (FIND("" "", $H3, 1) - 1)), 0)), VALUE(IF(REGEXMATCH($J3, "" ""), LEFT($J3, (FIND("" "", $J3, 1) - 1)), 0)), VALUE(IF(REGEXMATCH($L3"&amp;", "" ""), LEFT($L3, (FIND("" "", $L3, 1) - 1)), 0)), VALUE(IF(REGEXMATCH($N3, "" ""), LEFT($N3, (FIND("" "", $N3, 1) - 1)), 0)), VALUE(IF(REGEXMATCH($P3, "" ""), LEFT($P3, (FIND("" "", $P3, 1) - 1)), 0)), VALUE(IF(REGEXMATCH($R3, "" ""), LEFT($R3, (FIND("&amp;""" "", $R3, 1) - 1)), 0)), VALUE(IF(REGEXMATCH($T3, "" ""), LEFT($T3, (FIND("" "", $T3, 1) - 1)), 0)), VALUE(IF(REGEXMATCH($V3, "" ""), LEFT($V3, (FIND("" "", $V3, 1) - 1)), 0)))"),19.65)</f>
        <v>19.65</v>
      </c>
      <c r="X3" s="16">
        <f t="shared" si="1"/>
        <v>24.5625</v>
      </c>
    </row>
    <row r="4">
      <c r="A4" s="14">
        <v>3.0</v>
      </c>
      <c r="B4" s="14">
        <v>1.60118733063E11</v>
      </c>
      <c r="C4" s="14" t="s">
        <v>181</v>
      </c>
      <c r="D4" s="30" t="s">
        <v>21</v>
      </c>
      <c r="E4" s="14" t="s">
        <v>24</v>
      </c>
      <c r="F4" s="16" t="s">
        <v>25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>
        <f>IFERROR(__xludf.DUMMYFUNCTION("MAX(VALUE(IF(REGEXMATCH($F4, "" ""), LEFT($F4, (FIND("" "", $F4, 1) - 1)), 0)), VALUE(IF(REGEXMATCH($H4, "" ""), LEFT($H4, (FIND("" "", $H4, 1) - 1)), 0)), VALUE(IF(REGEXMATCH($J4, "" ""), LEFT($J4, (FIND("" "", $J4, 1) - 1)), 0)), VALUE(IF(REGEXMATCH($L4"&amp;", "" ""), LEFT($L4, (FIND("" "", $L4, 1) - 1)), 0)), VALUE(IF(REGEXMATCH($N4, "" ""), LEFT($N4, (FIND("" "", $N4, 1) - 1)), 0)), VALUE(IF(REGEXMATCH($P4, "" ""), LEFT($P4, (FIND("" "", $P4, 1) - 1)), 0)), VALUE(IF(REGEXMATCH($R4, "" ""), LEFT($R4, (FIND("&amp;""" "", $R4, 1) - 1)), 0)), VALUE(IF(REGEXMATCH($T4, "" ""), LEFT($T4, (FIND("" "", $T4, 1) - 1)), 0)), VALUE(IF(REGEXMATCH($V4, "" ""), LEFT($V4, (FIND("" "", $V4, 1) - 1)), 0)))"),4.0)</f>
        <v>4</v>
      </c>
      <c r="X4" s="16">
        <f t="shared" si="1"/>
        <v>5</v>
      </c>
    </row>
    <row r="5">
      <c r="A5" s="14">
        <v>4.0</v>
      </c>
      <c r="B5" s="31">
        <v>1.60118733064E11</v>
      </c>
      <c r="C5" s="14" t="s">
        <v>182</v>
      </c>
      <c r="D5" s="30"/>
      <c r="E5" s="14" t="s">
        <v>124</v>
      </c>
      <c r="F5" s="16" t="s">
        <v>125</v>
      </c>
      <c r="G5" s="18" t="s">
        <v>62</v>
      </c>
      <c r="H5" s="18" t="s">
        <v>14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>
        <f>IFERROR(__xludf.DUMMYFUNCTION("MAX(VALUE(IF(REGEXMATCH($F5, "" ""), LEFT($F5, (FIND("" "", $F5, 1) - 1)), 0)), VALUE(IF(REGEXMATCH($H5, "" ""), LEFT($H5, (FIND("" "", $H5, 1) - 1)), 0)), VALUE(IF(REGEXMATCH($J5, "" ""), LEFT($J5, (FIND("" "", $J5, 1) - 1)), 0)), VALUE(IF(REGEXMATCH($L5"&amp;", "" ""), LEFT($L5, (FIND("" "", $L5, 1) - 1)), 0)), VALUE(IF(REGEXMATCH($N5, "" ""), LEFT($N5, (FIND("" "", $N5, 1) - 1)), 0)), VALUE(IF(REGEXMATCH($P5, "" ""), LEFT($P5, (FIND("" "", $P5, 1) - 1)), 0)), VALUE(IF(REGEXMATCH($R5, "" ""), LEFT($R5, (FIND("&amp;""" "", $R5, 1) - 1)), 0)), VALUE(IF(REGEXMATCH($T5, "" ""), LEFT($T5, (FIND("" "", $T5, 1) - 1)), 0)), VALUE(IF(REGEXMATCH($V5, "" ""), LEFT($V5, (FIND("" "", $V5, 1) - 1)), 0)))"),23.0)</f>
        <v>23</v>
      </c>
      <c r="X5" s="16">
        <f t="shared" si="1"/>
        <v>28.75</v>
      </c>
    </row>
    <row r="6">
      <c r="A6" s="14">
        <v>5.0</v>
      </c>
      <c r="B6" s="14">
        <v>1.60118733065E11</v>
      </c>
      <c r="C6" s="14" t="s">
        <v>183</v>
      </c>
      <c r="D6" s="32" t="s">
        <v>21</v>
      </c>
      <c r="E6" s="14" t="s">
        <v>27</v>
      </c>
      <c r="F6" s="14" t="s">
        <v>28</v>
      </c>
      <c r="G6" s="14" t="s">
        <v>33</v>
      </c>
      <c r="H6" s="14" t="s">
        <v>34</v>
      </c>
      <c r="I6" s="14" t="s">
        <v>184</v>
      </c>
      <c r="J6" s="14" t="s">
        <v>131</v>
      </c>
      <c r="K6" s="14" t="s">
        <v>185</v>
      </c>
      <c r="L6" s="16" t="s">
        <v>186</v>
      </c>
      <c r="M6" s="18" t="s">
        <v>15</v>
      </c>
      <c r="N6" s="18" t="s">
        <v>94</v>
      </c>
      <c r="O6" s="18" t="s">
        <v>187</v>
      </c>
      <c r="P6" s="18" t="s">
        <v>188</v>
      </c>
      <c r="Q6" s="16"/>
      <c r="R6" s="16"/>
      <c r="S6" s="16"/>
      <c r="T6" s="16"/>
      <c r="U6" s="16"/>
      <c r="V6" s="16"/>
      <c r="W6" s="16">
        <f>IFERROR(__xludf.DUMMYFUNCTION("MAX(VALUE(IF(REGEXMATCH($F6, "" ""), LEFT($F6, (FIND("" "", $F6, 1) - 1)), 0)), VALUE(IF(REGEXMATCH($H6, "" ""), LEFT($H6, (FIND("" "", $H6, 1) - 1)), 0)), VALUE(IF(REGEXMATCH($J6, "" ""), LEFT($J6, (FIND("" "", $J6, 1) - 1)), 0)), VALUE(IF(REGEXMATCH($L6"&amp;", "" ""), LEFT($L6, (FIND("" "", $L6, 1) - 1)), 0)), VALUE(IF(REGEXMATCH($N6, "" ""), LEFT($N6, (FIND("" "", $N6, 1) - 1)), 0)), VALUE(IF(REGEXMATCH($P6, "" ""), LEFT($P6, (FIND("" "", $P6, 1) - 1)), 0)), VALUE(IF(REGEXMATCH($R6, "" ""), LEFT($R6, (FIND("&amp;""" "", $R6, 1) - 1)), 0)), VALUE(IF(REGEXMATCH($T6, "" ""), LEFT($T6, (FIND("" "", $T6, 1) - 1)), 0)), VALUE(IF(REGEXMATCH($V6, "" ""), LEFT($V6, (FIND("" "", $V6, 1) - 1)), 0)))"),12.0)</f>
        <v>12</v>
      </c>
      <c r="X6" s="16">
        <f t="shared" si="1"/>
        <v>15</v>
      </c>
    </row>
    <row r="7">
      <c r="A7" s="14">
        <v>6.0</v>
      </c>
      <c r="B7" s="31">
        <v>1.60118733066E11</v>
      </c>
      <c r="C7" s="14" t="s">
        <v>189</v>
      </c>
      <c r="D7" s="30"/>
      <c r="E7" s="14" t="s">
        <v>82</v>
      </c>
      <c r="F7" s="14" t="s">
        <v>66</v>
      </c>
      <c r="G7" s="14" t="s">
        <v>90</v>
      </c>
      <c r="H7" s="16" t="s">
        <v>91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>
        <f>IFERROR(__xludf.DUMMYFUNCTION("MAX(VALUE(IF(REGEXMATCH($F7, "" ""), LEFT($F7, (FIND("" "", $F7, 1) - 1)), 0)), VALUE(IF(REGEXMATCH($H7, "" ""), LEFT($H7, (FIND("" "", $H7, 1) - 1)), 0)), VALUE(IF(REGEXMATCH($J7, "" ""), LEFT($J7, (FIND("" "", $J7, 1) - 1)), 0)), VALUE(IF(REGEXMATCH($L7"&amp;", "" ""), LEFT($L7, (FIND("" "", $L7, 1) - 1)), 0)), VALUE(IF(REGEXMATCH($N7, "" ""), LEFT($N7, (FIND("" "", $N7, 1) - 1)), 0)), VALUE(IF(REGEXMATCH($P7, "" ""), LEFT($P7, (FIND("" "", $P7, 1) - 1)), 0)), VALUE(IF(REGEXMATCH($R7, "" ""), LEFT($R7, (FIND("&amp;""" "", $R7, 1) - 1)), 0)), VALUE(IF(REGEXMATCH($T7, "" ""), LEFT($T7, (FIND("" "", $T7, 1) - 1)), 0)), VALUE(IF(REGEXMATCH($V7, "" ""), LEFT($V7, (FIND("" "", $V7, 1) - 1)), 0)))"),12.73)</f>
        <v>12.73</v>
      </c>
      <c r="X7" s="16">
        <f t="shared" si="1"/>
        <v>15.9125</v>
      </c>
    </row>
    <row r="8">
      <c r="A8" s="31">
        <v>7.0</v>
      </c>
      <c r="B8" s="31">
        <v>1.60118733067E11</v>
      </c>
      <c r="C8" s="31" t="s">
        <v>190</v>
      </c>
      <c r="D8" s="30" t="s">
        <v>21</v>
      </c>
      <c r="E8" s="14" t="s">
        <v>93</v>
      </c>
      <c r="F8" s="14" t="s">
        <v>94</v>
      </c>
      <c r="G8" s="14" t="s">
        <v>88</v>
      </c>
      <c r="H8" s="14" t="s">
        <v>89</v>
      </c>
      <c r="I8" s="14" t="s">
        <v>191</v>
      </c>
      <c r="J8" s="14" t="s">
        <v>192</v>
      </c>
      <c r="K8" s="14" t="s">
        <v>193</v>
      </c>
      <c r="L8" s="14" t="s">
        <v>125</v>
      </c>
      <c r="M8" s="14" t="s">
        <v>22</v>
      </c>
      <c r="N8" s="16" t="s">
        <v>23</v>
      </c>
      <c r="O8" s="18" t="s">
        <v>194</v>
      </c>
      <c r="P8" s="18" t="s">
        <v>195</v>
      </c>
      <c r="Q8" s="16"/>
      <c r="R8" s="33"/>
      <c r="S8" s="33"/>
      <c r="T8" s="33"/>
      <c r="U8" s="33"/>
      <c r="V8" s="33"/>
      <c r="W8" s="33">
        <f>IFERROR(__xludf.DUMMYFUNCTION("MAX(VALUE(IF(REGEXMATCH($F8, "" ""), LEFT($F8, (FIND("" "", $F8, 1) - 1)), 0)), VALUE(IF(REGEXMATCH($H8, "" ""), LEFT($H8, (FIND("" "", $H8, 1) - 1)), 0)), VALUE(IF(REGEXMATCH($J8, "" ""), LEFT($J8, (FIND("" "", $J8, 1) - 1)), 0)), VALUE(IF(REGEXMATCH($L8"&amp;", "" ""), LEFT($L8, (FIND("" "", $L8, 1) - 1)), 0)), VALUE(IF(REGEXMATCH($N8, "" ""), LEFT($N8, (FIND("" "", $N8, 1) - 1)), 0)), VALUE(IF(REGEXMATCH($P8, "" ""), LEFT($P8, (FIND("" "", $P8, 1) - 1)), 0)), VALUE(IF(REGEXMATCH($R8, "" ""), LEFT($R8, (FIND("&amp;""" "", $R8, 1) - 1)), 0)), VALUE(IF(REGEXMATCH($T8, "" ""), LEFT($T8, (FIND("" "", $T8, 1) - 1)), 0)), VALUE(IF(REGEXMATCH($V8, "" ""), LEFT($V8, (FIND("" "", $V8, 1) - 1)), 0)))"),16.0)</f>
        <v>16</v>
      </c>
      <c r="X8" s="33">
        <f t="shared" si="1"/>
        <v>20</v>
      </c>
    </row>
    <row r="9">
      <c r="A9" s="14">
        <v>8.0</v>
      </c>
      <c r="B9" s="31">
        <v>1.60118733068E11</v>
      </c>
      <c r="C9" s="14" t="s">
        <v>196</v>
      </c>
      <c r="D9" s="34" t="s">
        <v>21</v>
      </c>
      <c r="E9" s="14" t="s">
        <v>27</v>
      </c>
      <c r="F9" s="14" t="s">
        <v>28</v>
      </c>
      <c r="G9" s="14" t="s">
        <v>48</v>
      </c>
      <c r="H9" s="14" t="s">
        <v>25</v>
      </c>
      <c r="I9" s="14" t="s">
        <v>197</v>
      </c>
      <c r="J9" s="14" t="s">
        <v>25</v>
      </c>
      <c r="K9" s="14" t="s">
        <v>33</v>
      </c>
      <c r="L9" s="16" t="s">
        <v>34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>
        <f>IFERROR(__xludf.DUMMYFUNCTION("MAX(VALUE(IF(REGEXMATCH($F9, "" ""), LEFT($F9, (FIND("" "", $F9, 1) - 1)), 0)), VALUE(IF(REGEXMATCH($H9, "" ""), LEFT($H9, (FIND("" "", $H9, 1) - 1)), 0)), VALUE(IF(REGEXMATCH($J9, "" ""), LEFT($J9, (FIND("" "", $J9, 1) - 1)), 0)), VALUE(IF(REGEXMATCH($L9"&amp;", "" ""), LEFT($L9, (FIND("" "", $L9, 1) - 1)), 0)), VALUE(IF(REGEXMATCH($N9, "" ""), LEFT($N9, (FIND("" "", $N9, 1) - 1)), 0)), VALUE(IF(REGEXMATCH($P9, "" ""), LEFT($P9, (FIND("" "", $P9, 1) - 1)), 0)), VALUE(IF(REGEXMATCH($R9, "" ""), LEFT($R9, (FIND("&amp;""" "", $R9, 1) - 1)), 0)), VALUE(IF(REGEXMATCH($T9, "" ""), LEFT($T9, (FIND("" "", $T9, 1) - 1)), 0)), VALUE(IF(REGEXMATCH($V9, "" ""), LEFT($V9, (FIND("" "", $V9, 1) - 1)), 0)))"),4.5)</f>
        <v>4.5</v>
      </c>
      <c r="X9" s="16">
        <f t="shared" si="1"/>
        <v>5.625</v>
      </c>
    </row>
    <row r="10">
      <c r="A10" s="14">
        <v>9.0</v>
      </c>
      <c r="B10" s="14">
        <v>1.60118733069E11</v>
      </c>
      <c r="C10" s="14" t="s">
        <v>198</v>
      </c>
      <c r="D10" s="30"/>
      <c r="E10" s="14" t="s">
        <v>33</v>
      </c>
      <c r="F10" s="14" t="s">
        <v>34</v>
      </c>
      <c r="G10" s="14" t="s">
        <v>199</v>
      </c>
      <c r="H10" s="16" t="s">
        <v>28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>
        <f>IFERROR(__xludf.DUMMYFUNCTION("MAX(VALUE(IF(REGEXMATCH($F10, "" ""), LEFT($F10, (FIND("" "", $F10, 1) - 1)), 0)), VALUE(IF(REGEXMATCH($H10, "" ""), LEFT($H10, (FIND("" "", $H10, 1) - 1)), 0)), VALUE(IF(REGEXMATCH($J10, "" ""), LEFT($J10, (FIND("" "", $J10, 1) - 1)), 0)), VALUE(IF(REGEX"&amp;"MATCH($L10, "" ""), LEFT($L10, (FIND("" "", $L10, 1) - 1)), 0)), VALUE(IF(REGEXMATCH($N10, "" ""), LEFT($N10, (FIND("" "", $N10, 1) - 1)), 0)), VALUE(IF(REGEXMATCH($P10, "" ""), LEFT($P10, (FIND("" "", $P10, 1) - 1)), 0)), VALUE(IF(REGEXMATCH($R10, "" "")"&amp;", LEFT($R10, (FIND("" "", $R10, 1) - 1)), 0)), VALUE(IF(REGEXMATCH($T10, "" ""), LEFT($T10, (FIND("" "", $T10, 1) - 1)), 0)), VALUE(IF(REGEXMATCH($V10, "" ""), LEFT($V10, (FIND("" "", $V10, 1) - 1)), 0)))"),4.5)</f>
        <v>4.5</v>
      </c>
      <c r="X10" s="16">
        <f t="shared" si="1"/>
        <v>5.625</v>
      </c>
    </row>
    <row r="11">
      <c r="A11" s="14">
        <v>10.0</v>
      </c>
      <c r="B11" s="31">
        <v>1.6011873307E11</v>
      </c>
      <c r="C11" s="14" t="s">
        <v>200</v>
      </c>
      <c r="D11" s="32" t="s">
        <v>21</v>
      </c>
      <c r="E11" s="18" t="s">
        <v>184</v>
      </c>
      <c r="F11" s="4" t="s">
        <v>57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>
        <f>IFERROR(__xludf.DUMMYFUNCTION("MAX(VALUE(IF(REGEXMATCH($F11, "" ""), LEFT($F11, (FIND("" "", $F11, 1) - 1)), 0)), VALUE(IF(REGEXMATCH($H11, "" ""), LEFT($H11, (FIND("" "", $H11, 1) - 1)), 0)), VALUE(IF(REGEXMATCH($J11, "" ""), LEFT($J11, (FIND("" "", $J11, 1) - 1)), 0)), VALUE(IF(REGEX"&amp;"MATCH($L11, "" ""), LEFT($L11, (FIND("" "", $L11, 1) - 1)), 0)), VALUE(IF(REGEXMATCH($N11, "" ""), LEFT($N11, (FIND("" "", $N11, 1) - 1)), 0)), VALUE(IF(REGEXMATCH($P11, "" ""), LEFT($P11, (FIND("" "", $P11, 1) - 1)), 0)), VALUE(IF(REGEXMATCH($R11, "" "")"&amp;", LEFT($R11, (FIND("" "", $R11, 1) - 1)), 0)), VALUE(IF(REGEXMATCH($T11, "" ""), LEFT($T11, (FIND("" "", $T11, 1) - 1)), 0)), VALUE(IF(REGEXMATCH($V11, "" ""), LEFT($V11, (FIND("" "", $V11, 1) - 1)), 0)))"),0.0)</f>
        <v>0</v>
      </c>
      <c r="X11" s="16">
        <f t="shared" si="1"/>
        <v>0</v>
      </c>
    </row>
    <row r="12">
      <c r="A12" s="14">
        <v>11.0</v>
      </c>
      <c r="B12" s="14">
        <v>1.60118733071E11</v>
      </c>
      <c r="C12" s="14" t="s">
        <v>201</v>
      </c>
      <c r="D12" s="30" t="s">
        <v>21</v>
      </c>
      <c r="E12" s="14" t="s">
        <v>41</v>
      </c>
      <c r="F12" s="16" t="s">
        <v>42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>
        <f>IFERROR(__xludf.DUMMYFUNCTION("MAX(VALUE(IF(REGEXMATCH($F12, "" ""), LEFT($F12, (FIND("" "", $F12, 1) - 1)), 0)), VALUE(IF(REGEXMATCH($H12, "" ""), LEFT($H12, (FIND("" "", $H12, 1) - 1)), 0)), VALUE(IF(REGEXMATCH($J12, "" ""), LEFT($J12, (FIND("" "", $J12, 1) - 1)), 0)), VALUE(IF(REGEX"&amp;"MATCH($L12, "" ""), LEFT($L12, (FIND("" "", $L12, 1) - 1)), 0)), VALUE(IF(REGEXMATCH($N12, "" ""), LEFT($N12, (FIND("" "", $N12, 1) - 1)), 0)), VALUE(IF(REGEXMATCH($P12, "" ""), LEFT($P12, (FIND("" "", $P12, 1) - 1)), 0)), VALUE(IF(REGEXMATCH($R12, "" "")"&amp;", LEFT($R12, (FIND("" "", $R12, 1) - 1)), 0)), VALUE(IF(REGEXMATCH($T12, "" ""), LEFT($T12, (FIND("" "", $T12, 1) - 1)), 0)), VALUE(IF(REGEXMATCH($V12, "" ""), LEFT($V12, (FIND("" "", $V12, 1) - 1)), 0)))"),14.0)</f>
        <v>14</v>
      </c>
      <c r="X12" s="16">
        <f t="shared" si="1"/>
        <v>17.5</v>
      </c>
    </row>
    <row r="13">
      <c r="A13" s="14">
        <v>12.0</v>
      </c>
      <c r="B13" s="31">
        <v>1.60118733072E11</v>
      </c>
      <c r="C13" s="14" t="s">
        <v>202</v>
      </c>
      <c r="D13" s="30" t="s">
        <v>21</v>
      </c>
      <c r="E13" s="14" t="s">
        <v>203</v>
      </c>
      <c r="F13" s="16" t="s">
        <v>54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>
        <f>IFERROR(__xludf.DUMMYFUNCTION("MAX(VALUE(IF(REGEXMATCH($F13, "" ""), LEFT($F13, (FIND("" "", $F13, 1) - 1)), 0)), VALUE(IF(REGEXMATCH($H13, "" ""), LEFT($H13, (FIND("" "", $H13, 1) - 1)), 0)), VALUE(IF(REGEXMATCH($J13, "" ""), LEFT($J13, (FIND("" "", $J13, 1) - 1)), 0)), VALUE(IF(REGEX"&amp;"MATCH($L13, "" ""), LEFT($L13, (FIND("" "", $L13, 1) - 1)), 0)), VALUE(IF(REGEXMATCH($N13, "" ""), LEFT($N13, (FIND("" "", $N13, 1) - 1)), 0)), VALUE(IF(REGEXMATCH($P13, "" ""), LEFT($P13, (FIND("" "", $P13, 1) - 1)), 0)), VALUE(IF(REGEXMATCH($R13, "" "")"&amp;", LEFT($R13, (FIND("" "", $R13, 1) - 1)), 0)), VALUE(IF(REGEXMATCH($T13, "" ""), LEFT($T13, (FIND("" "", $T13, 1) - 1)), 0)), VALUE(IF(REGEXMATCH($V13, "" ""), LEFT($V13, (FIND("" "", $V13, 1) - 1)), 0)))"),8.1)</f>
        <v>8.1</v>
      </c>
      <c r="X13" s="16">
        <f t="shared" si="1"/>
        <v>10.125</v>
      </c>
    </row>
    <row r="14">
      <c r="A14" s="14">
        <v>13.0</v>
      </c>
      <c r="B14" s="14">
        <v>1.60118733073E11</v>
      </c>
      <c r="C14" s="14" t="s">
        <v>204</v>
      </c>
      <c r="D14" s="30" t="s">
        <v>21</v>
      </c>
      <c r="E14" s="14" t="s">
        <v>138</v>
      </c>
      <c r="F14" s="16" t="s">
        <v>139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>
        <f>IFERROR(__xludf.DUMMYFUNCTION("MAX(VALUE(IF(REGEXMATCH($F14, "" ""), LEFT($F14, (FIND("" "", $F14, 1) - 1)), 0)), VALUE(IF(REGEXMATCH($H14, "" ""), LEFT($H14, (FIND("" "", $H14, 1) - 1)), 0)), VALUE(IF(REGEXMATCH($J14, "" ""), LEFT($J14, (FIND("" "", $J14, 1) - 1)), 0)), VALUE(IF(REGEX"&amp;"MATCH($L14, "" ""), LEFT($L14, (FIND("" "", $L14, 1) - 1)), 0)), VALUE(IF(REGEXMATCH($N14, "" ""), LEFT($N14, (FIND("" "", $N14, 1) - 1)), 0)), VALUE(IF(REGEXMATCH($P14, "" ""), LEFT($P14, (FIND("" "", $P14, 1) - 1)), 0)), VALUE(IF(REGEXMATCH($R14, "" "")"&amp;", LEFT($R14, (FIND("" "", $R14, 1) - 1)), 0)), VALUE(IF(REGEXMATCH($T14, "" ""), LEFT($T14, (FIND("" "", $T14, 1) - 1)), 0)), VALUE(IF(REGEXMATCH($V14, "" ""), LEFT($V14, (FIND("" "", $V14, 1) - 1)), 0)))"),25.0)</f>
        <v>25</v>
      </c>
      <c r="X14" s="16">
        <f t="shared" si="1"/>
        <v>31.25</v>
      </c>
    </row>
    <row r="15">
      <c r="A15" s="14">
        <v>14.0</v>
      </c>
      <c r="B15" s="14">
        <v>1.60118733075E11</v>
      </c>
      <c r="C15" s="14" t="s">
        <v>205</v>
      </c>
      <c r="D15" s="30" t="s">
        <v>21</v>
      </c>
      <c r="E15" s="14" t="s">
        <v>24</v>
      </c>
      <c r="F15" s="14" t="s">
        <v>25</v>
      </c>
      <c r="G15" s="14" t="s">
        <v>84</v>
      </c>
      <c r="H15" s="14" t="s">
        <v>32</v>
      </c>
      <c r="I15" s="14" t="s">
        <v>33</v>
      </c>
      <c r="J15" s="14" t="s">
        <v>34</v>
      </c>
      <c r="K15" s="14" t="s">
        <v>184</v>
      </c>
      <c r="L15" s="16" t="s">
        <v>131</v>
      </c>
      <c r="M15" s="18" t="s">
        <v>206</v>
      </c>
      <c r="N15" s="18" t="s">
        <v>207</v>
      </c>
      <c r="O15" s="18" t="s">
        <v>35</v>
      </c>
      <c r="P15" s="18" t="s">
        <v>36</v>
      </c>
      <c r="Q15" s="16"/>
      <c r="R15" s="16"/>
      <c r="S15" s="16"/>
      <c r="T15" s="16"/>
      <c r="U15" s="16"/>
      <c r="V15" s="16"/>
      <c r="W15" s="16">
        <f>IFERROR(__xludf.DUMMYFUNCTION("MAX(VALUE(IF(REGEXMATCH($F15, "" ""), LEFT($F15, (FIND("" "", $F15, 1) - 1)), 0)), VALUE(IF(REGEXMATCH($H15, "" ""), LEFT($H15, (FIND("" "", $H15, 1) - 1)), 0)), VALUE(IF(REGEXMATCH($J15, "" ""), LEFT($J15, (FIND("" "", $J15, 1) - 1)), 0)), VALUE(IF(REGEX"&amp;"MATCH($L15, "" ""), LEFT($L15, (FIND("" "", $L15, 1) - 1)), 0)), VALUE(IF(REGEXMATCH($N15, "" ""), LEFT($N15, (FIND("" "", $N15, 1) - 1)), 0)), VALUE(IF(REGEXMATCH($P15, "" ""), LEFT($P15, (FIND("" "", $P15, 1) - 1)), 0)), VALUE(IF(REGEXMATCH($R15, "" "")"&amp;", LEFT($R15, (FIND("" "", $R15, 1) - 1)), 0)), VALUE(IF(REGEXMATCH($T15, "" ""), LEFT($T15, (FIND("" "", $T15, 1) - 1)), 0)), VALUE(IF(REGEXMATCH($V15, "" ""), LEFT($V15, (FIND("" "", $V15, 1) - 1)), 0)))"),8.5)</f>
        <v>8.5</v>
      </c>
      <c r="X15" s="16">
        <f t="shared" si="1"/>
        <v>10.625</v>
      </c>
    </row>
    <row r="16">
      <c r="A16" s="14">
        <v>15.0</v>
      </c>
      <c r="B16" s="31">
        <v>1.60118733076E11</v>
      </c>
      <c r="C16" s="14" t="s">
        <v>208</v>
      </c>
      <c r="D16" s="30" t="s">
        <v>21</v>
      </c>
      <c r="E16" s="14" t="s">
        <v>41</v>
      </c>
      <c r="F16" s="16" t="s">
        <v>42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>
        <f>IFERROR(__xludf.DUMMYFUNCTION("MAX(VALUE(IF(REGEXMATCH($F16, "" ""), LEFT($F16, (FIND("" "", $F16, 1) - 1)), 0)), VALUE(IF(REGEXMATCH($H16, "" ""), LEFT($H16, (FIND("" "", $H16, 1) - 1)), 0)), VALUE(IF(REGEXMATCH($J16, "" ""), LEFT($J16, (FIND("" "", $J16, 1) - 1)), 0)), VALUE(IF(REGEX"&amp;"MATCH($L16, "" ""), LEFT($L16, (FIND("" "", $L16, 1) - 1)), 0)), VALUE(IF(REGEXMATCH($N16, "" ""), LEFT($N16, (FIND("" "", $N16, 1) - 1)), 0)), VALUE(IF(REGEXMATCH($P16, "" ""), LEFT($P16, (FIND("" "", $P16, 1) - 1)), 0)), VALUE(IF(REGEXMATCH($R16, "" "")"&amp;", LEFT($R16, (FIND("" "", $R16, 1) - 1)), 0)), VALUE(IF(REGEXMATCH($T16, "" ""), LEFT($T16, (FIND("" "", $T16, 1) - 1)), 0)), VALUE(IF(REGEXMATCH($V16, "" ""), LEFT($V16, (FIND("" "", $V16, 1) - 1)), 0)))"),14.0)</f>
        <v>14</v>
      </c>
      <c r="X16" s="16">
        <f t="shared" si="1"/>
        <v>17.5</v>
      </c>
    </row>
    <row r="17">
      <c r="A17" s="14">
        <v>16.0</v>
      </c>
      <c r="B17" s="14">
        <v>1.60118733077E11</v>
      </c>
      <c r="C17" s="14" t="s">
        <v>209</v>
      </c>
      <c r="D17" s="30" t="s">
        <v>21</v>
      </c>
      <c r="E17" s="14" t="s">
        <v>210</v>
      </c>
      <c r="F17" s="14" t="s">
        <v>142</v>
      </c>
      <c r="G17" s="14" t="s">
        <v>88</v>
      </c>
      <c r="H17" s="16" t="s">
        <v>89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>
        <f>IFERROR(__xludf.DUMMYFUNCTION("MAX(VALUE(IF(REGEXMATCH($F17, "" ""), LEFT($F17, (FIND("" "", $F17, 1) - 1)), 0)), VALUE(IF(REGEXMATCH($H17, "" ""), LEFT($H17, (FIND("" "", $H17, 1) - 1)), 0)), VALUE(IF(REGEXMATCH($J17, "" ""), LEFT($J17, (FIND("" "", $J17, 1) - 1)), 0)), VALUE(IF(REGEX"&amp;"MATCH($L17, "" ""), LEFT($L17, (FIND("" "", $L17, 1) - 1)), 0)), VALUE(IF(REGEXMATCH($N17, "" ""), LEFT($N17, (FIND("" "", $N17, 1) - 1)), 0)), VALUE(IF(REGEXMATCH($P17, "" ""), LEFT($P17, (FIND("" "", $P17, 1) - 1)), 0)), VALUE(IF(REGEXMATCH($R17, "" "")"&amp;", LEFT($R17, (FIND("" "", $R17, 1) - 1)), 0)), VALUE(IF(REGEXMATCH($T17, "" ""), LEFT($T17, (FIND("" "", $T17, 1) - 1)), 0)), VALUE(IF(REGEXMATCH($V17, "" ""), LEFT($V17, (FIND("" "", $V17, 1) - 1)), 0)))"),7.5)</f>
        <v>7.5</v>
      </c>
      <c r="X17" s="16">
        <f t="shared" si="1"/>
        <v>9.375</v>
      </c>
    </row>
    <row r="18">
      <c r="A18" s="14">
        <v>17.0</v>
      </c>
      <c r="B18" s="31">
        <v>1.60118733078E11</v>
      </c>
      <c r="C18" s="14" t="s">
        <v>211</v>
      </c>
      <c r="D18" s="30" t="s">
        <v>21</v>
      </c>
      <c r="E18" s="14" t="s">
        <v>24</v>
      </c>
      <c r="F18" s="14" t="s">
        <v>25</v>
      </c>
      <c r="G18" s="14" t="s">
        <v>212</v>
      </c>
      <c r="H18" s="16" t="s">
        <v>213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>
        <f>IFERROR(__xludf.DUMMYFUNCTION("MAX(VALUE(IF(REGEXMATCH($F18, "" ""), LEFT($F18, (FIND("" "", $F18, 1) - 1)), 0)), VALUE(IF(REGEXMATCH($H18, "" ""), LEFT($H18, (FIND("" "", $H18, 1) - 1)), 0)), VALUE(IF(REGEXMATCH($J18, "" ""), LEFT($J18, (FIND("" "", $J18, 1) - 1)), 0)), VALUE(IF(REGEX"&amp;"MATCH($L18, "" ""), LEFT($L18, (FIND("" "", $L18, 1) - 1)), 0)), VALUE(IF(REGEXMATCH($N18, "" ""), LEFT($N18, (FIND("" "", $N18, 1) - 1)), 0)), VALUE(IF(REGEXMATCH($P18, "" ""), LEFT($P18, (FIND("" "", $P18, 1) - 1)), 0)), VALUE(IF(REGEXMATCH($R18, "" "")"&amp;", LEFT($R18, (FIND("" "", $R18, 1) - 1)), 0)), VALUE(IF(REGEXMATCH($T18, "" ""), LEFT($T18, (FIND("" "", $T18, 1) - 1)), 0)), VALUE(IF(REGEXMATCH($V18, "" ""), LEFT($V18, (FIND("" "", $V18, 1) - 1)), 0)))"),4.0)</f>
        <v>4</v>
      </c>
      <c r="X18" s="16">
        <f t="shared" si="1"/>
        <v>5</v>
      </c>
    </row>
    <row r="19">
      <c r="A19" s="14">
        <v>18.0</v>
      </c>
      <c r="B19" s="14">
        <v>1.60118733079E11</v>
      </c>
      <c r="C19" s="14" t="s">
        <v>214</v>
      </c>
      <c r="D19" s="30" t="s">
        <v>21</v>
      </c>
      <c r="E19" s="14" t="s">
        <v>41</v>
      </c>
      <c r="F19" s="16" t="s">
        <v>42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>
        <f>IFERROR(__xludf.DUMMYFUNCTION("MAX(VALUE(IF(REGEXMATCH($F19, "" ""), LEFT($F19, (FIND("" "", $F19, 1) - 1)), 0)), VALUE(IF(REGEXMATCH($H19, "" ""), LEFT($H19, (FIND("" "", $H19, 1) - 1)), 0)), VALUE(IF(REGEXMATCH($J19, "" ""), LEFT($J19, (FIND("" "", $J19, 1) - 1)), 0)), VALUE(IF(REGEX"&amp;"MATCH($L19, "" ""), LEFT($L19, (FIND("" "", $L19, 1) - 1)), 0)), VALUE(IF(REGEXMATCH($N19, "" ""), LEFT($N19, (FIND("" "", $N19, 1) - 1)), 0)), VALUE(IF(REGEXMATCH($P19, "" ""), LEFT($P19, (FIND("" "", $P19, 1) - 1)), 0)), VALUE(IF(REGEXMATCH($R19, "" "")"&amp;", LEFT($R19, (FIND("" "", $R19, 1) - 1)), 0)), VALUE(IF(REGEXMATCH($T19, "" ""), LEFT($T19, (FIND("" "", $T19, 1) - 1)), 0)), VALUE(IF(REGEXMATCH($V19, "" ""), LEFT($V19, (FIND("" "", $V19, 1) - 1)), 0)))"),14.0)</f>
        <v>14</v>
      </c>
      <c r="X19" s="16">
        <f t="shared" si="1"/>
        <v>17.5</v>
      </c>
    </row>
    <row r="20">
      <c r="A20" s="14">
        <v>19.0</v>
      </c>
      <c r="B20" s="31">
        <v>1.6011873308E11</v>
      </c>
      <c r="C20" s="14" t="s">
        <v>215</v>
      </c>
      <c r="D20" s="30" t="s">
        <v>21</v>
      </c>
      <c r="E20" s="14" t="s">
        <v>124</v>
      </c>
      <c r="F20" s="14" t="s">
        <v>125</v>
      </c>
      <c r="G20" s="14" t="s">
        <v>216</v>
      </c>
      <c r="H20" s="16" t="s">
        <v>192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>
        <f>IFERROR(__xludf.DUMMYFUNCTION("MAX(VALUE(IF(REGEXMATCH($F20, "" ""), LEFT($F20, (FIND("" "", $F20, 1) - 1)), 0)), VALUE(IF(REGEXMATCH($H20, "" ""), LEFT($H20, (FIND("" "", $H20, 1) - 1)), 0)), VALUE(IF(REGEXMATCH($J20, "" ""), LEFT($J20, (FIND("" "", $J20, 1) - 1)), 0)), VALUE(IF(REGEX"&amp;"MATCH($L20, "" ""), LEFT($L20, (FIND("" "", $L20, 1) - 1)), 0)), VALUE(IF(REGEXMATCH($N20, "" ""), LEFT($N20, (FIND("" "", $N20, 1) - 1)), 0)), VALUE(IF(REGEXMATCH($P20, "" ""), LEFT($P20, (FIND("" "", $P20, 1) - 1)), 0)), VALUE(IF(REGEXMATCH($R20, "" "")"&amp;", LEFT($R20, (FIND("" "", $R20, 1) - 1)), 0)), VALUE(IF(REGEXMATCH($T20, "" ""), LEFT($T20, (FIND("" "", $T20, 1) - 1)), 0)), VALUE(IF(REGEXMATCH($V20, "" ""), LEFT($V20, (FIND("" "", $V20, 1) - 1)), 0)))"),9.0)</f>
        <v>9</v>
      </c>
      <c r="X20" s="16">
        <f t="shared" si="1"/>
        <v>11.25</v>
      </c>
    </row>
    <row r="21">
      <c r="A21" s="14">
        <v>20.0</v>
      </c>
      <c r="B21" s="14">
        <v>1.60118733081E11</v>
      </c>
      <c r="C21" s="14" t="s">
        <v>217</v>
      </c>
      <c r="D21" s="30" t="s">
        <v>21</v>
      </c>
      <c r="E21" s="14" t="s">
        <v>41</v>
      </c>
      <c r="F21" s="16" t="s">
        <v>42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>
        <f>IFERROR(__xludf.DUMMYFUNCTION("MAX(VALUE(IF(REGEXMATCH($F21, "" ""), LEFT($F21, (FIND("" "", $F21, 1) - 1)), 0)), VALUE(IF(REGEXMATCH($H21, "" ""), LEFT($H21, (FIND("" "", $H21, 1) - 1)), 0)), VALUE(IF(REGEXMATCH($J21, "" ""), LEFT($J21, (FIND("" "", $J21, 1) - 1)), 0)), VALUE(IF(REGEX"&amp;"MATCH($L21, "" ""), LEFT($L21, (FIND("" "", $L21, 1) - 1)), 0)), VALUE(IF(REGEXMATCH($N21, "" ""), LEFT($N21, (FIND("" "", $N21, 1) - 1)), 0)), VALUE(IF(REGEXMATCH($P21, "" ""), LEFT($P21, (FIND("" "", $P21, 1) - 1)), 0)), VALUE(IF(REGEXMATCH($R21, "" "")"&amp;", LEFT($R21, (FIND("" "", $R21, 1) - 1)), 0)), VALUE(IF(REGEXMATCH($T21, "" ""), LEFT($T21, (FIND("" "", $T21, 1) - 1)), 0)), VALUE(IF(REGEXMATCH($V21, "" ""), LEFT($V21, (FIND("" "", $V21, 1) - 1)), 0)))"),14.0)</f>
        <v>14</v>
      </c>
      <c r="X21" s="16">
        <f t="shared" si="1"/>
        <v>17.5</v>
      </c>
    </row>
    <row r="22">
      <c r="A22" s="14">
        <v>21.0</v>
      </c>
      <c r="B22" s="14">
        <v>1.60118733083E11</v>
      </c>
      <c r="C22" s="14" t="s">
        <v>218</v>
      </c>
      <c r="D22" s="3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f>IFERROR(__xludf.DUMMYFUNCTION("MAX(VALUE(IF(REGEXMATCH($F22, "" ""), LEFT($F22, (FIND("" "", $F22, 1) - 1)), 0)), VALUE(IF(REGEXMATCH($H22, "" ""), LEFT($H22, (FIND("" "", $H22, 1) - 1)), 0)), VALUE(IF(REGEXMATCH($J22, "" ""), LEFT($J22, (FIND("" "", $J22, 1) - 1)), 0)), VALUE(IF(REGEX"&amp;"MATCH($L22, "" ""), LEFT($L22, (FIND("" "", $L22, 1) - 1)), 0)), VALUE(IF(REGEXMATCH($N22, "" ""), LEFT($N22, (FIND("" "", $N22, 1) - 1)), 0)), VALUE(IF(REGEXMATCH($P22, "" ""), LEFT($P22, (FIND("" "", $P22, 1) - 1)), 0)), VALUE(IF(REGEXMATCH($R22, "" "")"&amp;", LEFT($R22, (FIND("" "", $R22, 1) - 1)), 0)), VALUE(IF(REGEXMATCH($T22, "" ""), LEFT($T22, (FIND("" "", $T22, 1) - 1)), 0)), VALUE(IF(REGEXMATCH($V22, "" ""), LEFT($V22, (FIND("" "", $V22, 1) - 1)), 0)))"),0.0)</f>
        <v>0</v>
      </c>
      <c r="X22" s="16">
        <f t="shared" si="1"/>
        <v>0</v>
      </c>
    </row>
    <row r="23">
      <c r="A23" s="31">
        <v>22.0</v>
      </c>
      <c r="B23" s="31">
        <v>1.60118733084E11</v>
      </c>
      <c r="C23" s="31" t="s">
        <v>219</v>
      </c>
      <c r="D23" s="30" t="s">
        <v>21</v>
      </c>
      <c r="E23" s="14" t="s">
        <v>88</v>
      </c>
      <c r="F23" s="14" t="s">
        <v>89</v>
      </c>
      <c r="G23" s="14" t="s">
        <v>90</v>
      </c>
      <c r="H23" s="14" t="s">
        <v>91</v>
      </c>
      <c r="I23" s="14" t="s">
        <v>45</v>
      </c>
      <c r="J23" s="16" t="s">
        <v>46</v>
      </c>
      <c r="K23" s="18" t="s">
        <v>187</v>
      </c>
      <c r="L23" s="18" t="s">
        <v>188</v>
      </c>
      <c r="M23" s="16"/>
      <c r="N23" s="16"/>
      <c r="O23" s="16"/>
      <c r="P23" s="16"/>
      <c r="Q23" s="16"/>
      <c r="R23" s="33"/>
      <c r="S23" s="33"/>
      <c r="T23" s="33"/>
      <c r="U23" s="33"/>
      <c r="V23" s="33"/>
      <c r="W23" s="33">
        <f>IFERROR(__xludf.DUMMYFUNCTION("MAX(VALUE(IF(REGEXMATCH($F23, "" ""), LEFT($F23, (FIND("" "", $F23, 1) - 1)), 0)), VALUE(IF(REGEXMATCH($H23, "" ""), LEFT($H23, (FIND("" "", $H23, 1) - 1)), 0)), VALUE(IF(REGEXMATCH($J23, "" ""), LEFT($J23, (FIND("" "", $J23, 1) - 1)), 0)), VALUE(IF(REGEX"&amp;"MATCH($L23, "" ""), LEFT($L23, (FIND("" "", $L23, 1) - 1)), 0)), VALUE(IF(REGEXMATCH($N23, "" ""), LEFT($N23, (FIND("" "", $N23, 1) - 1)), 0)), VALUE(IF(REGEXMATCH($P23, "" ""), LEFT($P23, (FIND("" "", $P23, 1) - 1)), 0)), VALUE(IF(REGEXMATCH($R23, "" "")"&amp;", LEFT($R23, (FIND("" "", $R23, 1) - 1)), 0)), VALUE(IF(REGEXMATCH($T23, "" ""), LEFT($T23, (FIND("" "", $T23, 1) - 1)), 0)), VALUE(IF(REGEXMATCH($V23, "" ""), LEFT($V23, (FIND("" "", $V23, 1) - 1)), 0)))"),12.73)</f>
        <v>12.73</v>
      </c>
      <c r="X23" s="33">
        <f t="shared" si="1"/>
        <v>15.9125</v>
      </c>
    </row>
    <row r="24">
      <c r="A24" s="14">
        <v>23.0</v>
      </c>
      <c r="B24" s="14">
        <v>1.60118733085E11</v>
      </c>
      <c r="C24" s="14" t="s">
        <v>220</v>
      </c>
      <c r="D24" s="30" t="s">
        <v>21</v>
      </c>
      <c r="E24" s="14" t="s">
        <v>82</v>
      </c>
      <c r="F24" s="14" t="s">
        <v>66</v>
      </c>
      <c r="G24" s="14" t="s">
        <v>90</v>
      </c>
      <c r="H24" s="14" t="s">
        <v>91</v>
      </c>
      <c r="I24" s="14" t="s">
        <v>108</v>
      </c>
      <c r="J24" s="16" t="s">
        <v>109</v>
      </c>
      <c r="K24" s="18" t="s">
        <v>62</v>
      </c>
      <c r="L24" s="18" t="s">
        <v>14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>
        <f>IFERROR(__xludf.DUMMYFUNCTION("MAX(VALUE(IF(REGEXMATCH($F24, "" ""), LEFT($F24, (FIND("" "", $F24, 1) - 1)), 0)), VALUE(IF(REGEXMATCH($H24, "" ""), LEFT($H24, (FIND("" "", $H24, 1) - 1)), 0)), VALUE(IF(REGEXMATCH($J24, "" ""), LEFT($J24, (FIND("" "", $J24, 1) - 1)), 0)), VALUE(IF(REGEX"&amp;"MATCH($L24, "" ""), LEFT($L24, (FIND("" "", $L24, 1) - 1)), 0)), VALUE(IF(REGEXMATCH($N24, "" ""), LEFT($N24, (FIND("" "", $N24, 1) - 1)), 0)), VALUE(IF(REGEXMATCH($P24, "" ""), LEFT($P24, (FIND("" "", $P24, 1) - 1)), 0)), VALUE(IF(REGEXMATCH($R24, "" "")"&amp;", LEFT($R24, (FIND("" "", $R24, 1) - 1)), 0)), VALUE(IF(REGEXMATCH($T24, "" ""), LEFT($T24, (FIND("" "", $T24, 1) - 1)), 0)), VALUE(IF(REGEXMATCH($V24, "" ""), LEFT($V24, (FIND("" "", $V24, 1) - 1)), 0)))"),23.0)</f>
        <v>23</v>
      </c>
      <c r="X24" s="16">
        <f t="shared" si="1"/>
        <v>28.75</v>
      </c>
    </row>
    <row r="25">
      <c r="A25" s="14">
        <v>24.0</v>
      </c>
      <c r="B25" s="31">
        <v>1.60118733086E11</v>
      </c>
      <c r="C25" s="14" t="s">
        <v>221</v>
      </c>
      <c r="D25" s="32" t="s">
        <v>21</v>
      </c>
      <c r="E25" s="14" t="s">
        <v>222</v>
      </c>
      <c r="F25" s="16" t="s">
        <v>30</v>
      </c>
      <c r="G25" s="16" t="s">
        <v>177</v>
      </c>
      <c r="H25" s="16" t="s">
        <v>34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>
        <f>IFERROR(__xludf.DUMMYFUNCTION("MAX(VALUE(IF(REGEXMATCH($F25, "" ""), LEFT($F25, (FIND("" "", $F25, 1) - 1)), 0)), VALUE(IF(REGEXMATCH($H25, "" ""), LEFT($H25, (FIND("" "", $H25, 1) - 1)), 0)), VALUE(IF(REGEXMATCH($J25, "" ""), LEFT($J25, (FIND("" "", $J25, 1) - 1)), 0)), VALUE(IF(REGEX"&amp;"MATCH($L25, "" ""), LEFT($L25, (FIND("" "", $L25, 1) - 1)), 0)), VALUE(IF(REGEXMATCH($N25, "" ""), LEFT($N25, (FIND("" "", $N25, 1) - 1)), 0)), VALUE(IF(REGEXMATCH($P25, "" ""), LEFT($P25, (FIND("" "", $P25, 1) - 1)), 0)), VALUE(IF(REGEXMATCH($R25, "" "")"&amp;", LEFT($R25, (FIND("" "", $R25, 1) - 1)), 0)), VALUE(IF(REGEXMATCH($T25, "" ""), LEFT($T25, (FIND("" "", $T25, 1) - 1)), 0)), VALUE(IF(REGEXMATCH($V25, "" ""), LEFT($V25, (FIND("" "", $V25, 1) - 1)), 0)))"),6.0)</f>
        <v>6</v>
      </c>
      <c r="X25" s="16">
        <f t="shared" si="1"/>
        <v>7.5</v>
      </c>
    </row>
    <row r="26">
      <c r="A26" s="14">
        <v>25.0</v>
      </c>
      <c r="B26" s="14">
        <v>1.60118733087E11</v>
      </c>
      <c r="C26" s="14" t="s">
        <v>223</v>
      </c>
      <c r="D26" s="30" t="s">
        <v>21</v>
      </c>
      <c r="E26" s="14" t="s">
        <v>136</v>
      </c>
      <c r="F26" s="14" t="s">
        <v>66</v>
      </c>
      <c r="G26" s="14" t="s">
        <v>74</v>
      </c>
      <c r="H26" s="16" t="s">
        <v>75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>
        <f>IFERROR(__xludf.DUMMYFUNCTION("MAX(VALUE(IF(REGEXMATCH($F26, "" ""), LEFT($F26, (FIND("" "", $F26, 1) - 1)), 0)), VALUE(IF(REGEXMATCH($H26, "" ""), LEFT($H26, (FIND("" "", $H26, 1) - 1)), 0)), VALUE(IF(REGEXMATCH($J26, "" ""), LEFT($J26, (FIND("" "", $J26, 1) - 1)), 0)), VALUE(IF(REGEX"&amp;"MATCH($L26, "" ""), LEFT($L26, (FIND("" "", $L26, 1) - 1)), 0)), VALUE(IF(REGEXMATCH($N26, "" ""), LEFT($N26, (FIND("" "", $N26, 1) - 1)), 0)), VALUE(IF(REGEXMATCH($P26, "" ""), LEFT($P26, (FIND("" "", $P26, 1) - 1)), 0)), VALUE(IF(REGEXMATCH($R26, "" "")"&amp;", LEFT($R26, (FIND("" "", $R26, 1) - 1)), 0)), VALUE(IF(REGEXMATCH($T26, "" ""), LEFT($T26, (FIND("" "", $T26, 1) - 1)), 0)), VALUE(IF(REGEXMATCH($V26, "" ""), LEFT($V26, (FIND("" "", $V26, 1) - 1)), 0)))"),7.6)</f>
        <v>7.6</v>
      </c>
      <c r="X26" s="16">
        <f t="shared" si="1"/>
        <v>9.5</v>
      </c>
    </row>
    <row r="27">
      <c r="A27" s="14">
        <v>26.0</v>
      </c>
      <c r="B27" s="31">
        <v>1.60118733088E11</v>
      </c>
      <c r="C27" s="14" t="s">
        <v>224</v>
      </c>
      <c r="D27" s="30"/>
      <c r="E27" s="14" t="s">
        <v>225</v>
      </c>
      <c r="F27" s="14" t="s">
        <v>73</v>
      </c>
      <c r="G27" s="14" t="s">
        <v>29</v>
      </c>
      <c r="H27" s="16" t="s">
        <v>30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>
        <f>IFERROR(__xludf.DUMMYFUNCTION("MAX(VALUE(IF(REGEXMATCH($F27, "" ""), LEFT($F27, (FIND("" "", $F27, 1) - 1)), 0)), VALUE(IF(REGEXMATCH($H27, "" ""), LEFT($H27, (FIND("" "", $H27, 1) - 1)), 0)), VALUE(IF(REGEXMATCH($J27, "" ""), LEFT($J27, (FIND("" "", $J27, 1) - 1)), 0)), VALUE(IF(REGEX"&amp;"MATCH($L27, "" ""), LEFT($L27, (FIND("" "", $L27, 1) - 1)), 0)), VALUE(IF(REGEXMATCH($N27, "" ""), LEFT($N27, (FIND("" "", $N27, 1) - 1)), 0)), VALUE(IF(REGEXMATCH($P27, "" ""), LEFT($P27, (FIND("" "", $P27, 1) - 1)), 0)), VALUE(IF(REGEXMATCH($R27, "" "")"&amp;", LEFT($R27, (FIND("" "", $R27, 1) - 1)), 0)), VALUE(IF(REGEXMATCH($T27, "" ""), LEFT($T27, (FIND("" "", $T27, 1) - 1)), 0)), VALUE(IF(REGEXMATCH($V27, "" ""), LEFT($V27, (FIND("" "", $V27, 1) - 1)), 0)))"),8.0)</f>
        <v>8</v>
      </c>
      <c r="X27" s="16">
        <f t="shared" si="1"/>
        <v>10</v>
      </c>
    </row>
    <row r="28">
      <c r="A28" s="14">
        <v>27.0</v>
      </c>
      <c r="B28" s="14">
        <v>1.60118733089E11</v>
      </c>
      <c r="C28" s="14" t="s">
        <v>226</v>
      </c>
      <c r="D28" s="3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>
        <f>IFERROR(__xludf.DUMMYFUNCTION("MAX(VALUE(IF(REGEXMATCH($F28, "" ""), LEFT($F28, (FIND("" "", $F28, 1) - 1)), 0)), VALUE(IF(REGEXMATCH($H28, "" ""), LEFT($H28, (FIND("" "", $H28, 1) - 1)), 0)), VALUE(IF(REGEXMATCH($J28, "" ""), LEFT($J28, (FIND("" "", $J28, 1) - 1)), 0)), VALUE(IF(REGEX"&amp;"MATCH($L28, "" ""), LEFT($L28, (FIND("" "", $L28, 1) - 1)), 0)), VALUE(IF(REGEXMATCH($N28, "" ""), LEFT($N28, (FIND("" "", $N28, 1) - 1)), 0)), VALUE(IF(REGEXMATCH($P28, "" ""), LEFT($P28, (FIND("" "", $P28, 1) - 1)), 0)), VALUE(IF(REGEXMATCH($R28, "" "")"&amp;", LEFT($R28, (FIND("" "", $R28, 1) - 1)), 0)), VALUE(IF(REGEXMATCH($T28, "" ""), LEFT($T28, (FIND("" "", $T28, 1) - 1)), 0)), VALUE(IF(REGEXMATCH($V28, "" ""), LEFT($V28, (FIND("" "", $V28, 1) - 1)), 0)))"),0.0)</f>
        <v>0</v>
      </c>
      <c r="X28" s="16">
        <f t="shared" si="1"/>
        <v>0</v>
      </c>
    </row>
    <row r="29">
      <c r="A29" s="14">
        <v>28.0</v>
      </c>
      <c r="B29" s="14">
        <v>1.60118733091E11</v>
      </c>
      <c r="C29" s="14" t="s">
        <v>227</v>
      </c>
      <c r="D29" s="30" t="s">
        <v>21</v>
      </c>
      <c r="E29" s="14" t="s">
        <v>24</v>
      </c>
      <c r="F29" s="14" t="s">
        <v>25</v>
      </c>
      <c r="G29" s="14" t="s">
        <v>29</v>
      </c>
      <c r="H29" s="14" t="s">
        <v>30</v>
      </c>
      <c r="I29" s="14" t="s">
        <v>72</v>
      </c>
      <c r="J29" s="16" t="s">
        <v>73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>
        <f>IFERROR(__xludf.DUMMYFUNCTION("MAX(VALUE(IF(REGEXMATCH($F29, "" ""), LEFT($F29, (FIND("" "", $F29, 1) - 1)), 0)), VALUE(IF(REGEXMATCH($H29, "" ""), LEFT($H29, (FIND("" "", $H29, 1) - 1)), 0)), VALUE(IF(REGEXMATCH($J29, "" ""), LEFT($J29, (FIND("" "", $J29, 1) - 1)), 0)), VALUE(IF(REGEX"&amp;"MATCH($L29, "" ""), LEFT($L29, (FIND("" "", $L29, 1) - 1)), 0)), VALUE(IF(REGEXMATCH($N29, "" ""), LEFT($N29, (FIND("" "", $N29, 1) - 1)), 0)), VALUE(IF(REGEXMATCH($P29, "" ""), LEFT($P29, (FIND("" "", $P29, 1) - 1)), 0)), VALUE(IF(REGEXMATCH($R29, "" "")"&amp;", LEFT($R29, (FIND("" "", $R29, 1) - 1)), 0)), VALUE(IF(REGEXMATCH($T29, "" ""), LEFT($T29, (FIND("" "", $T29, 1) - 1)), 0)), VALUE(IF(REGEXMATCH($V29, "" ""), LEFT($V29, (FIND("" "", $V29, 1) - 1)), 0)))"),8.0)</f>
        <v>8</v>
      </c>
      <c r="X29" s="16">
        <f t="shared" si="1"/>
        <v>10</v>
      </c>
    </row>
    <row r="30">
      <c r="A30" s="14">
        <v>29.0</v>
      </c>
      <c r="B30" s="31">
        <v>1.60118733092E11</v>
      </c>
      <c r="C30" s="14" t="s">
        <v>228</v>
      </c>
      <c r="D30" s="3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>
        <f>IFERROR(__xludf.DUMMYFUNCTION("MAX(VALUE(IF(REGEXMATCH($F30, "" ""), LEFT($F30, (FIND("" "", $F30, 1) - 1)), 0)), VALUE(IF(REGEXMATCH($H30, "" ""), LEFT($H30, (FIND("" "", $H30, 1) - 1)), 0)), VALUE(IF(REGEXMATCH($J30, "" ""), LEFT($J30, (FIND("" "", $J30, 1) - 1)), 0)), VALUE(IF(REGEX"&amp;"MATCH($L30, "" ""), LEFT($L30, (FIND("" "", $L30, 1) - 1)), 0)), VALUE(IF(REGEXMATCH($N30, "" ""), LEFT($N30, (FIND("" "", $N30, 1) - 1)), 0)), VALUE(IF(REGEXMATCH($P30, "" ""), LEFT($P30, (FIND("" "", $P30, 1) - 1)), 0)), VALUE(IF(REGEXMATCH($R30, "" "")"&amp;", LEFT($R30, (FIND("" "", $R30, 1) - 1)), 0)), VALUE(IF(REGEXMATCH($T30, "" ""), LEFT($T30, (FIND("" "", $T30, 1) - 1)), 0)), VALUE(IF(REGEXMATCH($V30, "" ""), LEFT($V30, (FIND("" "", $V30, 1) - 1)), 0)))"),0.0)</f>
        <v>0</v>
      </c>
      <c r="X30" s="16">
        <f t="shared" si="1"/>
        <v>0</v>
      </c>
    </row>
    <row r="31">
      <c r="A31" s="14">
        <v>30.0</v>
      </c>
      <c r="B31" s="14">
        <v>1.60118733093E11</v>
      </c>
      <c r="C31" s="14" t="s">
        <v>229</v>
      </c>
      <c r="D31" s="30" t="s">
        <v>21</v>
      </c>
      <c r="E31" s="14" t="s">
        <v>127</v>
      </c>
      <c r="F31" s="14" t="s">
        <v>73</v>
      </c>
      <c r="G31" s="14" t="s">
        <v>108</v>
      </c>
      <c r="H31" s="14" t="s">
        <v>109</v>
      </c>
      <c r="I31" s="14" t="s">
        <v>130</v>
      </c>
      <c r="J31" s="16" t="s">
        <v>131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>
        <f>IFERROR(__xludf.DUMMYFUNCTION("MAX(VALUE(IF(REGEXMATCH($F31, "" ""), LEFT($F31, (FIND("" "", $F31, 1) - 1)), 0)), VALUE(IF(REGEXMATCH($H31, "" ""), LEFT($H31, (FIND("" "", $H31, 1) - 1)), 0)), VALUE(IF(REGEXMATCH($J31, "" ""), LEFT($J31, (FIND("" "", $J31, 1) - 1)), 0)), VALUE(IF(REGEX"&amp;"MATCH($L31, "" ""), LEFT($L31, (FIND("" "", $L31, 1) - 1)), 0)), VALUE(IF(REGEXMATCH($N31, "" ""), LEFT($N31, (FIND("" "", $N31, 1) - 1)), 0)), VALUE(IF(REGEXMATCH($P31, "" ""), LEFT($P31, (FIND("" "", $P31, 1) - 1)), 0)), VALUE(IF(REGEXMATCH($R31, "" "")"&amp;", LEFT($R31, (FIND("" "", $R31, 1) - 1)), 0)), VALUE(IF(REGEXMATCH($T31, "" ""), LEFT($T31, (FIND("" "", $T31, 1) - 1)), 0)), VALUE(IF(REGEXMATCH($V31, "" ""), LEFT($V31, (FIND("" "", $V31, 1) - 1)), 0)))"),8.0)</f>
        <v>8</v>
      </c>
      <c r="X31" s="16">
        <f t="shared" si="1"/>
        <v>10</v>
      </c>
    </row>
    <row r="32">
      <c r="A32" s="14">
        <v>31.0</v>
      </c>
      <c r="B32" s="31">
        <v>1.60118733094E11</v>
      </c>
      <c r="C32" s="14" t="s">
        <v>230</v>
      </c>
      <c r="D32" s="30" t="s">
        <v>21</v>
      </c>
      <c r="E32" s="14" t="s">
        <v>148</v>
      </c>
      <c r="F32" s="16" t="s">
        <v>142</v>
      </c>
      <c r="G32" s="18" t="s">
        <v>231</v>
      </c>
      <c r="H32" s="18" t="s">
        <v>232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>
        <f>IFERROR(__xludf.DUMMYFUNCTION("MAX(VALUE(IF(REGEXMATCH($F32, "" ""), LEFT($F32, (FIND("" "", $F32, 1) - 1)), 0)), VALUE(IF(REGEXMATCH($H32, "" ""), LEFT($H32, (FIND("" "", $H32, 1) - 1)), 0)), VALUE(IF(REGEXMATCH($J32, "" ""), LEFT($J32, (FIND("" "", $J32, 1) - 1)), 0)), VALUE(IF(REGEX"&amp;"MATCH($L32, "" ""), LEFT($L32, (FIND("" "", $L32, 1) - 1)), 0)), VALUE(IF(REGEXMATCH($N32, "" ""), LEFT($N32, (FIND("" "", $N32, 1) - 1)), 0)), VALUE(IF(REGEXMATCH($P32, "" ""), LEFT($P32, (FIND("" "", $P32, 1) - 1)), 0)), VALUE(IF(REGEXMATCH($R32, "" "")"&amp;", LEFT($R32, (FIND("" "", $R32, 1) - 1)), 0)), VALUE(IF(REGEXMATCH($T32, "" ""), LEFT($T32, (FIND("" "", $T32, 1) - 1)), 0)), VALUE(IF(REGEXMATCH($V32, "" ""), LEFT($V32, (FIND("" "", $V32, 1) - 1)), 0)))"),11.0)</f>
        <v>11</v>
      </c>
      <c r="X32" s="16">
        <f t="shared" si="1"/>
        <v>13.75</v>
      </c>
    </row>
    <row r="33">
      <c r="A33" s="14">
        <v>32.0</v>
      </c>
      <c r="B33" s="14">
        <v>1.60118733095E11</v>
      </c>
      <c r="C33" s="14" t="s">
        <v>233</v>
      </c>
      <c r="D33" s="30" t="s">
        <v>21</v>
      </c>
      <c r="E33" s="14" t="s">
        <v>24</v>
      </c>
      <c r="F33" s="14" t="s">
        <v>25</v>
      </c>
      <c r="G33" s="14" t="s">
        <v>45</v>
      </c>
      <c r="H33" s="16" t="s">
        <v>46</v>
      </c>
      <c r="I33" s="18" t="s">
        <v>50</v>
      </c>
      <c r="J33" s="18" t="s">
        <v>51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>
        <f>IFERROR(__xludf.DUMMYFUNCTION("MAX(VALUE(IF(REGEXMATCH($F33, "" ""), LEFT($F33, (FIND("" "", $F33, 1) - 1)), 0)), VALUE(IF(REGEXMATCH($H33, "" ""), LEFT($H33, (FIND("" "", $H33, 1) - 1)), 0)), VALUE(IF(REGEXMATCH($J33, "" ""), LEFT($J33, (FIND("" "", $J33, 1) - 1)), 0)), VALUE(IF(REGEX"&amp;"MATCH($L33, "" ""), LEFT($L33, (FIND("" "", $L33, 1) - 1)), 0)), VALUE(IF(REGEXMATCH($N33, "" ""), LEFT($N33, (FIND("" "", $N33, 1) - 1)), 0)), VALUE(IF(REGEXMATCH($P33, "" ""), LEFT($P33, (FIND("" "", $P33, 1) - 1)), 0)), VALUE(IF(REGEXMATCH($R33, "" "")"&amp;", LEFT($R33, (FIND("" "", $R33, 1) - 1)), 0)), VALUE(IF(REGEXMATCH($T33, "" ""), LEFT($T33, (FIND("" "", $T33, 1) - 1)), 0)), VALUE(IF(REGEXMATCH($V33, "" ""), LEFT($V33, (FIND("" "", $V33, 1) - 1)), 0)))"),10.4)</f>
        <v>10.4</v>
      </c>
      <c r="X33" s="16">
        <f t="shared" si="1"/>
        <v>13</v>
      </c>
    </row>
    <row r="34">
      <c r="A34" s="14">
        <v>33.0</v>
      </c>
      <c r="B34" s="31">
        <v>1.60118733096E11</v>
      </c>
      <c r="C34" s="14" t="s">
        <v>234</v>
      </c>
      <c r="D34" s="30"/>
      <c r="E34" s="14" t="s">
        <v>136</v>
      </c>
      <c r="F34" s="16" t="s">
        <v>66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>
        <f>IFERROR(__xludf.DUMMYFUNCTION("MAX(VALUE(IF(REGEXMATCH($F34, "" ""), LEFT($F34, (FIND("" "", $F34, 1) - 1)), 0)), VALUE(IF(REGEXMATCH($H34, "" ""), LEFT($H34, (FIND("" "", $H34, 1) - 1)), 0)), VALUE(IF(REGEXMATCH($J34, "" ""), LEFT($J34, (FIND("" "", $J34, 1) - 1)), 0)), VALUE(IF(REGEX"&amp;"MATCH($L34, "" ""), LEFT($L34, (FIND("" "", $L34, 1) - 1)), 0)), VALUE(IF(REGEXMATCH($N34, "" ""), LEFT($N34, (FIND("" "", $N34, 1) - 1)), 0)), VALUE(IF(REGEXMATCH($P34, "" ""), LEFT($P34, (FIND("" "", $P34, 1) - 1)), 0)), VALUE(IF(REGEXMATCH($R34, "" "")"&amp;", LEFT($R34, (FIND("" "", $R34, 1) - 1)), 0)), VALUE(IF(REGEXMATCH($T34, "" ""), LEFT($T34, (FIND("" "", $T34, 1) - 1)), 0)), VALUE(IF(REGEXMATCH($V34, "" ""), LEFT($V34, (FIND("" "", $V34, 1) - 1)), 0)))"),7.6)</f>
        <v>7.6</v>
      </c>
      <c r="X34" s="16">
        <f t="shared" si="1"/>
        <v>9.5</v>
      </c>
    </row>
    <row r="35">
      <c r="A35" s="14">
        <v>34.0</v>
      </c>
      <c r="B35" s="14">
        <v>1.60118733097E11</v>
      </c>
      <c r="C35" s="14" t="s">
        <v>235</v>
      </c>
      <c r="D35" s="30" t="s">
        <v>21</v>
      </c>
      <c r="E35" s="14" t="s">
        <v>156</v>
      </c>
      <c r="F35" s="14" t="s">
        <v>157</v>
      </c>
      <c r="G35" s="14" t="s">
        <v>45</v>
      </c>
      <c r="H35" s="16" t="s">
        <v>46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>
        <f>IFERROR(__xludf.DUMMYFUNCTION("MAX(VALUE(IF(REGEXMATCH($F35, "" ""), LEFT($F35, (FIND("" "", $F35, 1) - 1)), 0)), VALUE(IF(REGEXMATCH($H35, "" ""), LEFT($H35, (FIND("" "", $H35, 1) - 1)), 0)), VALUE(IF(REGEXMATCH($J35, "" ""), LEFT($J35, (FIND("" "", $J35, 1) - 1)), 0)), VALUE(IF(REGEX"&amp;"MATCH($L35, "" ""), LEFT($L35, (FIND("" "", $L35, 1) - 1)), 0)), VALUE(IF(REGEXMATCH($N35, "" ""), LEFT($N35, (FIND("" "", $N35, 1) - 1)), 0)), VALUE(IF(REGEXMATCH($P35, "" ""), LEFT($P35, (FIND("" "", $P35, 1) - 1)), 0)), VALUE(IF(REGEXMATCH($R35, "" "")"&amp;", LEFT($R35, (FIND("" "", $R35, 1) - 1)), 0)), VALUE(IF(REGEXMATCH($T35, "" ""), LEFT($T35, (FIND("" "", $T35, 1) - 1)), 0)), VALUE(IF(REGEXMATCH($V35, "" ""), LEFT($V35, (FIND("" "", $V35, 1) - 1)), 0)))"),16.64)</f>
        <v>16.64</v>
      </c>
      <c r="X35" s="16">
        <f t="shared" si="1"/>
        <v>20.8</v>
      </c>
    </row>
    <row r="36">
      <c r="A36" s="31">
        <v>35.0</v>
      </c>
      <c r="B36" s="31">
        <v>1.60118733098E11</v>
      </c>
      <c r="C36" s="31" t="s">
        <v>236</v>
      </c>
      <c r="D36" s="30" t="s">
        <v>21</v>
      </c>
      <c r="E36" s="14" t="s">
        <v>24</v>
      </c>
      <c r="F36" s="14" t="s">
        <v>25</v>
      </c>
      <c r="G36" s="14" t="s">
        <v>191</v>
      </c>
      <c r="H36" s="14" t="s">
        <v>192</v>
      </c>
      <c r="I36" s="14" t="s">
        <v>84</v>
      </c>
      <c r="J36" s="14" t="s">
        <v>32</v>
      </c>
      <c r="K36" s="14" t="s">
        <v>98</v>
      </c>
      <c r="L36" s="16" t="s">
        <v>94</v>
      </c>
      <c r="M36" s="18" t="s">
        <v>187</v>
      </c>
      <c r="N36" s="18" t="s">
        <v>188</v>
      </c>
      <c r="O36" s="16"/>
      <c r="P36" s="16"/>
      <c r="Q36" s="16"/>
      <c r="R36" s="33"/>
      <c r="S36" s="33"/>
      <c r="T36" s="33"/>
      <c r="U36" s="33"/>
      <c r="V36" s="33"/>
      <c r="W36" s="33">
        <f>IFERROR(__xludf.DUMMYFUNCTION("MAX(VALUE(IF(REGEXMATCH($F36, "" ""), LEFT($F36, (FIND("" "", $F36, 1) - 1)), 0)), VALUE(IF(REGEXMATCH($H36, "" ""), LEFT($H36, (FIND("" "", $H36, 1) - 1)), 0)), VALUE(IF(REGEXMATCH($J36, "" ""), LEFT($J36, (FIND("" "", $J36, 1) - 1)), 0)), VALUE(IF(REGEX"&amp;"MATCH($L36, "" ""), LEFT($L36, (FIND("" "", $L36, 1) - 1)), 0)), VALUE(IF(REGEXMATCH($N36, "" ""), LEFT($N36, (FIND("" "", $N36, 1) - 1)), 0)), VALUE(IF(REGEXMATCH($P36, "" ""), LEFT($P36, (FIND("" "", $P36, 1) - 1)), 0)), VALUE(IF(REGEXMATCH($R36, "" "")"&amp;", LEFT($R36, (FIND("" "", $R36, 1) - 1)), 0)), VALUE(IF(REGEXMATCH($T36, "" ""), LEFT($T36, (FIND("" "", $T36, 1) - 1)), 0)), VALUE(IF(REGEXMATCH($V36, "" ""), LEFT($V36, (FIND("" "", $V36, 1) - 1)), 0)))"),12.0)</f>
        <v>12</v>
      </c>
      <c r="X36" s="33">
        <f t="shared" si="1"/>
        <v>15</v>
      </c>
    </row>
    <row r="37">
      <c r="A37" s="14">
        <v>36.0</v>
      </c>
      <c r="B37" s="14">
        <v>1.60118733099E11</v>
      </c>
      <c r="C37" s="14" t="s">
        <v>237</v>
      </c>
      <c r="D37" s="3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>
        <f>IFERROR(__xludf.DUMMYFUNCTION("MAX(VALUE(IF(REGEXMATCH($F37, "" ""), LEFT($F37, (FIND("" "", $F37, 1) - 1)), 0)), VALUE(IF(REGEXMATCH($H37, "" ""), LEFT($H37, (FIND("" "", $H37, 1) - 1)), 0)), VALUE(IF(REGEXMATCH($J37, "" ""), LEFT($J37, (FIND("" "", $J37, 1) - 1)), 0)), VALUE(IF(REGEX"&amp;"MATCH($L37, "" ""), LEFT($L37, (FIND("" "", $L37, 1) - 1)), 0)), VALUE(IF(REGEXMATCH($N37, "" ""), LEFT($N37, (FIND("" "", $N37, 1) - 1)), 0)), VALUE(IF(REGEXMATCH($P37, "" ""), LEFT($P37, (FIND("" "", $P37, 1) - 1)), 0)), VALUE(IF(REGEXMATCH($R37, "" "")"&amp;", LEFT($R37, (FIND("" "", $R37, 1) - 1)), 0)), VALUE(IF(REGEXMATCH($T37, "" ""), LEFT($T37, (FIND("" "", $T37, 1) - 1)), 0)), VALUE(IF(REGEXMATCH($V37, "" ""), LEFT($V37, (FIND("" "", $V37, 1) - 1)), 0)))"),0.0)</f>
        <v>0</v>
      </c>
      <c r="X37" s="16">
        <f t="shared" si="1"/>
        <v>0</v>
      </c>
    </row>
    <row r="38">
      <c r="A38" s="14">
        <v>37.0</v>
      </c>
      <c r="B38" s="14">
        <v>1.601187331E11</v>
      </c>
      <c r="C38" s="14" t="s">
        <v>238</v>
      </c>
      <c r="D38" s="30" t="s">
        <v>21</v>
      </c>
      <c r="E38" s="14" t="s">
        <v>130</v>
      </c>
      <c r="F38" s="16" t="s">
        <v>131</v>
      </c>
      <c r="G38" s="14" t="s">
        <v>27</v>
      </c>
      <c r="H38" s="14" t="s">
        <v>28</v>
      </c>
      <c r="I38" s="14" t="s">
        <v>31</v>
      </c>
      <c r="J38" s="16" t="s">
        <v>32</v>
      </c>
      <c r="K38" s="14" t="s">
        <v>197</v>
      </c>
      <c r="L38" s="14" t="s">
        <v>25</v>
      </c>
      <c r="M38" s="14" t="s">
        <v>193</v>
      </c>
      <c r="N38" s="16" t="s">
        <v>125</v>
      </c>
      <c r="O38" s="16"/>
      <c r="P38" s="16"/>
      <c r="Q38" s="16"/>
      <c r="R38" s="33"/>
      <c r="S38" s="33"/>
      <c r="T38" s="33"/>
      <c r="U38" s="33"/>
      <c r="V38" s="33"/>
      <c r="W38" s="16">
        <f>IFERROR(__xludf.DUMMYFUNCTION("MAX(VALUE(IF(REGEXMATCH($F38, "" ""), LEFT($F38, (FIND("" "", $F38, 1) - 1)), 0)), VALUE(IF(REGEXMATCH($H38, "" ""), LEFT($H38, (FIND("" "", $H38, 1) - 1)), 0)), VALUE(IF(REGEXMATCH($J38, "" ""), LEFT($J38, (FIND("" "", $J38, 1) - 1)), 0)), VALUE(IF(REGEX"&amp;"MATCH($L38, "" ""), LEFT($L38, (FIND("" "", $L38, 1) - 1)), 0)), VALUE(IF(REGEXMATCH($N38, "" ""), LEFT($N38, (FIND("" "", $N38, 1) - 1)), 0)), VALUE(IF(REGEXMATCH($P38, "" ""), LEFT($P38, (FIND("" "", $P38, 1) - 1)), 0)), VALUE(IF(REGEXMATCH($R38, "" "")"&amp;", LEFT($R38, (FIND("" "", $R38, 1) - 1)), 0)), VALUE(IF(REGEXMATCH($T38, "" ""), LEFT($T38, (FIND("" "", $T38, 1) - 1)), 0)), VALUE(IF(REGEXMATCH($V38, "" ""), LEFT($V38, (FIND("" "", $V38, 1) - 1)), 0)))"),9.0)</f>
        <v>9</v>
      </c>
      <c r="X38" s="16">
        <f t="shared" si="1"/>
        <v>11.25</v>
      </c>
    </row>
    <row r="39">
      <c r="A39" s="14">
        <v>38.0</v>
      </c>
      <c r="B39" s="14">
        <v>1.60118733101E11</v>
      </c>
      <c r="C39" s="14" t="s">
        <v>239</v>
      </c>
      <c r="D39" s="3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33"/>
      <c r="S39" s="33"/>
      <c r="T39" s="33"/>
      <c r="U39" s="33"/>
      <c r="V39" s="33"/>
      <c r="W39" s="16">
        <f>IFERROR(__xludf.DUMMYFUNCTION("MAX(VALUE(IF(REGEXMATCH($F39, "" ""), LEFT($F39, (FIND("" "", $F39, 1) - 1)), 0)), VALUE(IF(REGEXMATCH($H39, "" ""), LEFT($H39, (FIND("" "", $H39, 1) - 1)), 0)), VALUE(IF(REGEXMATCH($J39, "" ""), LEFT($J39, (FIND("" "", $J39, 1) - 1)), 0)), VALUE(IF(REGEX"&amp;"MATCH($L39, "" ""), LEFT($L39, (FIND("" "", $L39, 1) - 1)), 0)), VALUE(IF(REGEXMATCH($N39, "" ""), LEFT($N39, (FIND("" "", $N39, 1) - 1)), 0)), VALUE(IF(REGEXMATCH($P39, "" ""), LEFT($P39, (FIND("" "", $P39, 1) - 1)), 0)), VALUE(IF(REGEXMATCH($R39, "" "")"&amp;", LEFT($R39, (FIND("" "", $R39, 1) - 1)), 0)), VALUE(IF(REGEXMATCH($T39, "" ""), LEFT($T39, (FIND("" "", $T39, 1) - 1)), 0)), VALUE(IF(REGEXMATCH($V39, "" ""), LEFT($V39, (FIND("" "", $V39, 1) - 1)), 0)))"),0.0)</f>
        <v>0</v>
      </c>
      <c r="X39" s="16">
        <f t="shared" si="1"/>
        <v>0</v>
      </c>
    </row>
    <row r="40">
      <c r="A40" s="14">
        <v>39.0</v>
      </c>
      <c r="B40" s="14">
        <v>1.60118733102E11</v>
      </c>
      <c r="C40" s="14" t="s">
        <v>240</v>
      </c>
      <c r="D40" s="30" t="s">
        <v>21</v>
      </c>
      <c r="E40" s="14" t="s">
        <v>241</v>
      </c>
      <c r="F40" s="14" t="s">
        <v>142</v>
      </c>
      <c r="G40" s="14" t="s">
        <v>29</v>
      </c>
      <c r="H40" s="16" t="s">
        <v>30</v>
      </c>
      <c r="I40" s="14" t="s">
        <v>27</v>
      </c>
      <c r="J40" s="14" t="s">
        <v>28</v>
      </c>
      <c r="K40" s="14" t="s">
        <v>108</v>
      </c>
      <c r="L40" s="16" t="s">
        <v>109</v>
      </c>
      <c r="M40" s="16"/>
      <c r="N40" s="16"/>
      <c r="O40" s="16"/>
      <c r="P40" s="16"/>
      <c r="Q40" s="16"/>
      <c r="R40" s="33"/>
      <c r="S40" s="33"/>
      <c r="T40" s="33"/>
      <c r="U40" s="33"/>
      <c r="V40" s="33"/>
      <c r="W40" s="33">
        <f>IFERROR(__xludf.DUMMYFUNCTION("MAX(VALUE(IF(REGEXMATCH($F40, "" ""), LEFT($F40, (FIND("" "", $F40, 1) - 1)), 0)), VALUE(IF(REGEXMATCH($H40, "" ""), LEFT($H40, (FIND("" "", $H40, 1) - 1)), 0)), VALUE(IF(REGEXMATCH($J40, "" ""), LEFT($J40, (FIND("" "", $J40, 1) - 1)), 0)), VALUE(IF(REGEX"&amp;"MATCH($L40, "" ""), LEFT($L40, (FIND("" "", $L40, 1) - 1)), 0)), VALUE(IF(REGEXMATCH($N40, "" ""), LEFT($N40, (FIND("" "", $N40, 1) - 1)), 0)), VALUE(IF(REGEXMATCH($P40, "" ""), LEFT($P40, (FIND("" "", $P40, 1) - 1)), 0)), VALUE(IF(REGEXMATCH($R40, "" "")"&amp;", LEFT($R40, (FIND("" "", $R40, 1) - 1)), 0)), VALUE(IF(REGEXMATCH($T40, "" ""), LEFT($T40, (FIND("" "", $T40, 1) - 1)), 0)), VALUE(IF(REGEXMATCH($V40, "" ""), LEFT($V40, (FIND("" "", $V40, 1) - 1)), 0)))"),7.5)</f>
        <v>7.5</v>
      </c>
      <c r="X40" s="33">
        <f t="shared" si="1"/>
        <v>9.375</v>
      </c>
    </row>
    <row r="41">
      <c r="A41" s="14">
        <v>40.0</v>
      </c>
      <c r="B41" s="14">
        <v>1.60118733103E11</v>
      </c>
      <c r="C41" s="14" t="s">
        <v>242</v>
      </c>
      <c r="D41" s="3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>
        <f>IFERROR(__xludf.DUMMYFUNCTION("MAX(VALUE(IF(REGEXMATCH($F41, "" ""), LEFT($F41, (FIND("" "", $F41, 1) - 1)), 0)), VALUE(IF(REGEXMATCH($H41, "" ""), LEFT($H41, (FIND("" "", $H41, 1) - 1)), 0)), VALUE(IF(REGEXMATCH($J41, "" ""), LEFT($J41, (FIND("" "", $J41, 1) - 1)), 0)), VALUE(IF(REGEX"&amp;"MATCH($L41, "" ""), LEFT($L41, (FIND("" "", $L41, 1) - 1)), 0)), VALUE(IF(REGEXMATCH($N41, "" ""), LEFT($N41, (FIND("" "", $N41, 1) - 1)), 0)), VALUE(IF(REGEXMATCH($P41, "" ""), LEFT($P41, (FIND("" "", $P41, 1) - 1)), 0)), VALUE(IF(REGEXMATCH($R41, "" "")"&amp;", LEFT($R41, (FIND("" "", $R41, 1) - 1)), 0)), VALUE(IF(REGEXMATCH($T41, "" ""), LEFT($T41, (FIND("" "", $T41, 1) - 1)), 0)), VALUE(IF(REGEXMATCH($V41, "" ""), LEFT($V41, (FIND("" "", $V41, 1) - 1)), 0)))"),0.0)</f>
        <v>0</v>
      </c>
      <c r="X41" s="16">
        <f t="shared" si="1"/>
        <v>0</v>
      </c>
    </row>
    <row r="42">
      <c r="A42" s="14">
        <v>41.0</v>
      </c>
      <c r="B42" s="14">
        <v>1.60118733105E11</v>
      </c>
      <c r="C42" s="14" t="s">
        <v>243</v>
      </c>
      <c r="D42" s="3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>
        <f>IFERROR(__xludf.DUMMYFUNCTION("MAX(VALUE(IF(REGEXMATCH($F42, "" ""), LEFT($F42, (FIND("" "", $F42, 1) - 1)), 0)), VALUE(IF(REGEXMATCH($H42, "" ""), LEFT($H42, (FIND("" "", $H42, 1) - 1)), 0)), VALUE(IF(REGEXMATCH($J42, "" ""), LEFT($J42, (FIND("" "", $J42, 1) - 1)), 0)), VALUE(IF(REGEX"&amp;"MATCH($L42, "" ""), LEFT($L42, (FIND("" "", $L42, 1) - 1)), 0)), VALUE(IF(REGEXMATCH($N42, "" ""), LEFT($N42, (FIND("" "", $N42, 1) - 1)), 0)), VALUE(IF(REGEXMATCH($P42, "" ""), LEFT($P42, (FIND("" "", $P42, 1) - 1)), 0)), VALUE(IF(REGEXMATCH($R42, "" "")"&amp;", LEFT($R42, (FIND("" "", $R42, 1) - 1)), 0)), VALUE(IF(REGEXMATCH($T42, "" ""), LEFT($T42, (FIND("" "", $T42, 1) - 1)), 0)), VALUE(IF(REGEXMATCH($V42, "" ""), LEFT($V42, (FIND("" "", $V42, 1) - 1)), 0)))"),0.0)</f>
        <v>0</v>
      </c>
      <c r="X42" s="16">
        <f t="shared" si="1"/>
        <v>0</v>
      </c>
    </row>
    <row r="43">
      <c r="A43" s="14">
        <v>42.0</v>
      </c>
      <c r="B43" s="31">
        <v>1.60118733106E11</v>
      </c>
      <c r="C43" s="14" t="s">
        <v>244</v>
      </c>
      <c r="D43" s="30" t="s">
        <v>21</v>
      </c>
      <c r="E43" s="14" t="s">
        <v>48</v>
      </c>
      <c r="F43" s="14" t="s">
        <v>25</v>
      </c>
      <c r="G43" s="14" t="s">
        <v>197</v>
      </c>
      <c r="H43" s="14" t="s">
        <v>25</v>
      </c>
      <c r="I43" s="14" t="s">
        <v>33</v>
      </c>
      <c r="J43" s="16" t="s">
        <v>34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f>IFERROR(__xludf.DUMMYFUNCTION("MAX(VALUE(IF(REGEXMATCH($F43, "" ""), LEFT($F43, (FIND("" "", $F43, 1) - 1)), 0)), VALUE(IF(REGEXMATCH($H43, "" ""), LEFT($H43, (FIND("" "", $H43, 1) - 1)), 0)), VALUE(IF(REGEXMATCH($J43, "" ""), LEFT($J43, (FIND("" "", $J43, 1) - 1)), 0)), VALUE(IF(REGEX"&amp;"MATCH($L43, "" ""), LEFT($L43, (FIND("" "", $L43, 1) - 1)), 0)), VALUE(IF(REGEXMATCH($N43, "" ""), LEFT($N43, (FIND("" "", $N43, 1) - 1)), 0)), VALUE(IF(REGEXMATCH($P43, "" ""), LEFT($P43, (FIND("" "", $P43, 1) - 1)), 0)), VALUE(IF(REGEXMATCH($R43, "" "")"&amp;", LEFT($R43, (FIND("" "", $R43, 1) - 1)), 0)), VALUE(IF(REGEXMATCH($T43, "" ""), LEFT($T43, (FIND("" "", $T43, 1) - 1)), 0)), VALUE(IF(REGEXMATCH($V43, "" ""), LEFT($V43, (FIND("" "", $V43, 1) - 1)), 0)))"),4.0)</f>
        <v>4</v>
      </c>
      <c r="X43" s="16">
        <f t="shared" si="1"/>
        <v>5</v>
      </c>
    </row>
    <row r="44">
      <c r="A44" s="14">
        <v>43.0</v>
      </c>
      <c r="B44" s="14">
        <v>1.60118733107E11</v>
      </c>
      <c r="C44" s="14" t="s">
        <v>245</v>
      </c>
      <c r="D44" s="34"/>
      <c r="E44" s="14" t="s">
        <v>27</v>
      </c>
      <c r="F44" s="14" t="s">
        <v>28</v>
      </c>
      <c r="G44" s="14" t="s">
        <v>84</v>
      </c>
      <c r="H44" s="16" t="s">
        <v>32</v>
      </c>
      <c r="I44" s="18" t="s">
        <v>35</v>
      </c>
      <c r="J44" s="18" t="s">
        <v>36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>
        <f>IFERROR(__xludf.DUMMYFUNCTION("MAX(VALUE(IF(REGEXMATCH($F44, "" ""), LEFT($F44, (FIND("" "", $F44, 1) - 1)), 0)), VALUE(IF(REGEXMATCH($H44, "" ""), LEFT($H44, (FIND("" "", $H44, 1) - 1)), 0)), VALUE(IF(REGEXMATCH($J44, "" ""), LEFT($J44, (FIND("" "", $J44, 1) - 1)), 0)), VALUE(IF(REGEX"&amp;"MATCH($L44, "" ""), LEFT($L44, (FIND("" "", $L44, 1) - 1)), 0)), VALUE(IF(REGEXMATCH($N44, "" ""), LEFT($N44, (FIND("" "", $N44, 1) - 1)), 0)), VALUE(IF(REGEXMATCH($P44, "" ""), LEFT($P44, (FIND("" "", $P44, 1) - 1)), 0)), VALUE(IF(REGEXMATCH($R44, "" "")"&amp;", LEFT($R44, (FIND("" "", $R44, 1) - 1)), 0)), VALUE(IF(REGEXMATCH($T44, "" ""), LEFT($T44, (FIND("" "", $T44, 1) - 1)), 0)), VALUE(IF(REGEXMATCH($V44, "" ""), LEFT($V44, (FIND("" "", $V44, 1) - 1)), 0)))"),8.5)</f>
        <v>8.5</v>
      </c>
      <c r="X44" s="16">
        <f t="shared" si="1"/>
        <v>10.625</v>
      </c>
    </row>
    <row r="45">
      <c r="A45" s="14">
        <v>44.0</v>
      </c>
      <c r="B45" s="31">
        <v>1.60118733108E11</v>
      </c>
      <c r="C45" s="14" t="s">
        <v>246</v>
      </c>
      <c r="D45" s="30" t="s">
        <v>21</v>
      </c>
      <c r="E45" s="14" t="s">
        <v>84</v>
      </c>
      <c r="F45" s="14" t="s">
        <v>32</v>
      </c>
      <c r="G45" s="14" t="s">
        <v>24</v>
      </c>
      <c r="H45" s="14" t="s">
        <v>25</v>
      </c>
      <c r="I45" s="14" t="s">
        <v>197</v>
      </c>
      <c r="J45" s="14" t="s">
        <v>25</v>
      </c>
      <c r="K45" s="14" t="s">
        <v>33</v>
      </c>
      <c r="L45" s="14" t="s">
        <v>34</v>
      </c>
      <c r="M45" s="14" t="s">
        <v>193</v>
      </c>
      <c r="N45" s="16" t="s">
        <v>125</v>
      </c>
      <c r="O45" s="16"/>
      <c r="P45" s="16"/>
      <c r="Q45" s="16"/>
      <c r="R45" s="16"/>
      <c r="S45" s="16"/>
      <c r="T45" s="16"/>
      <c r="U45" s="16"/>
      <c r="V45" s="16"/>
      <c r="W45" s="16">
        <f>IFERROR(__xludf.DUMMYFUNCTION("MAX(VALUE(IF(REGEXMATCH($F45, "" ""), LEFT($F45, (FIND("" "", $F45, 1) - 1)), 0)), VALUE(IF(REGEXMATCH($H45, "" ""), LEFT($H45, (FIND("" "", $H45, 1) - 1)), 0)), VALUE(IF(REGEXMATCH($J45, "" ""), LEFT($J45, (FIND("" "", $J45, 1) - 1)), 0)), VALUE(IF(REGEX"&amp;"MATCH($L45, "" ""), LEFT($L45, (FIND("" "", $L45, 1) - 1)), 0)), VALUE(IF(REGEXMATCH($N45, "" ""), LEFT($N45, (FIND("" "", $N45, 1) - 1)), 0)), VALUE(IF(REGEXMATCH($P45, "" ""), LEFT($P45, (FIND("" "", $P45, 1) - 1)), 0)), VALUE(IF(REGEXMATCH($R45, "" "")"&amp;", LEFT($R45, (FIND("" "", $R45, 1) - 1)), 0)), VALUE(IF(REGEXMATCH($T45, "" ""), LEFT($T45, (FIND("" "", $T45, 1) - 1)), 0)), VALUE(IF(REGEXMATCH($V45, "" ""), LEFT($V45, (FIND("" "", $V45, 1) - 1)), 0)))"),9.0)</f>
        <v>9</v>
      </c>
      <c r="X45" s="16">
        <f t="shared" si="1"/>
        <v>11.25</v>
      </c>
    </row>
    <row r="46">
      <c r="A46" s="14">
        <v>45.0</v>
      </c>
      <c r="B46" s="14">
        <v>1.60118733109E11</v>
      </c>
      <c r="C46" s="14" t="s">
        <v>247</v>
      </c>
      <c r="D46" s="30" t="s">
        <v>21</v>
      </c>
      <c r="E46" s="14" t="s">
        <v>74</v>
      </c>
      <c r="F46" s="14" t="s">
        <v>75</v>
      </c>
      <c r="G46" s="14" t="s">
        <v>84</v>
      </c>
      <c r="H46" s="14" t="s">
        <v>32</v>
      </c>
      <c r="I46" s="14" t="s">
        <v>48</v>
      </c>
      <c r="J46" s="14" t="s">
        <v>25</v>
      </c>
      <c r="K46" s="14" t="s">
        <v>193</v>
      </c>
      <c r="L46" s="14" t="s">
        <v>125</v>
      </c>
      <c r="M46" s="14" t="s">
        <v>248</v>
      </c>
      <c r="N46" s="16" t="s">
        <v>23</v>
      </c>
      <c r="O46" s="16"/>
      <c r="P46" s="16"/>
      <c r="Q46" s="16"/>
      <c r="R46" s="16"/>
      <c r="S46" s="16"/>
      <c r="T46" s="16"/>
      <c r="U46" s="16"/>
      <c r="V46" s="16"/>
      <c r="W46" s="16">
        <f>IFERROR(__xludf.DUMMYFUNCTION("MAX(VALUE(IF(REGEXMATCH($F46, "" ""), LEFT($F46, (FIND("" "", $F46, 1) - 1)), 0)), VALUE(IF(REGEXMATCH($H46, "" ""), LEFT($H46, (FIND("" "", $H46, 1) - 1)), 0)), VALUE(IF(REGEXMATCH($J46, "" ""), LEFT($J46, (FIND("" "", $J46, 1) - 1)), 0)), VALUE(IF(REGEX"&amp;"MATCH($L46, "" ""), LEFT($L46, (FIND("" "", $L46, 1) - 1)), 0)), VALUE(IF(REGEXMATCH($N46, "" ""), LEFT($N46, (FIND("" "", $N46, 1) - 1)), 0)), VALUE(IF(REGEXMATCH($P46, "" ""), LEFT($P46, (FIND("" "", $P46, 1) - 1)), 0)), VALUE(IF(REGEXMATCH($R46, "" "")"&amp;", LEFT($R46, (FIND("" "", $R46, 1) - 1)), 0)), VALUE(IF(REGEXMATCH($T46, "" ""), LEFT($T46, (FIND("" "", $T46, 1) - 1)), 0)), VALUE(IF(REGEXMATCH($V46, "" ""), LEFT($V46, (FIND("" "", $V46, 1) - 1)), 0)))"),9.08)</f>
        <v>9.08</v>
      </c>
      <c r="X46" s="16">
        <f t="shared" si="1"/>
        <v>11.35</v>
      </c>
    </row>
    <row r="47">
      <c r="A47" s="14">
        <v>46.0</v>
      </c>
      <c r="B47" s="31">
        <v>1.6011873311E11</v>
      </c>
      <c r="C47" s="14" t="s">
        <v>249</v>
      </c>
      <c r="D47" s="3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>
        <f>IFERROR(__xludf.DUMMYFUNCTION("MAX(VALUE(IF(REGEXMATCH($F47, "" ""), LEFT($F47, (FIND("" "", $F47, 1) - 1)), 0)), VALUE(IF(REGEXMATCH($H47, "" ""), LEFT($H47, (FIND("" "", $H47, 1) - 1)), 0)), VALUE(IF(REGEXMATCH($J47, "" ""), LEFT($J47, (FIND("" "", $J47, 1) - 1)), 0)), VALUE(IF(REGEX"&amp;"MATCH($L47, "" ""), LEFT($L47, (FIND("" "", $L47, 1) - 1)), 0)), VALUE(IF(REGEXMATCH($N47, "" ""), LEFT($N47, (FIND("" "", $N47, 1) - 1)), 0)), VALUE(IF(REGEXMATCH($P47, "" ""), LEFT($P47, (FIND("" "", $P47, 1) - 1)), 0)), VALUE(IF(REGEXMATCH($R47, "" "")"&amp;", LEFT($R47, (FIND("" "", $R47, 1) - 1)), 0)), VALUE(IF(REGEXMATCH($T47, "" ""), LEFT($T47, (FIND("" "", $T47, 1) - 1)), 0)), VALUE(IF(REGEXMATCH($V47, "" ""), LEFT($V47, (FIND("" "", $V47, 1) - 1)), 0)))"),0.0)</f>
        <v>0</v>
      </c>
      <c r="X47" s="16">
        <f t="shared" si="1"/>
        <v>0</v>
      </c>
    </row>
    <row r="48">
      <c r="A48" s="14">
        <v>47.0</v>
      </c>
      <c r="B48" s="14">
        <v>1.60118733111E11</v>
      </c>
      <c r="C48" s="14" t="s">
        <v>250</v>
      </c>
      <c r="D48" s="30" t="s">
        <v>21</v>
      </c>
      <c r="E48" s="14" t="s">
        <v>84</v>
      </c>
      <c r="F48" s="14" t="s">
        <v>32</v>
      </c>
      <c r="G48" s="14" t="s">
        <v>24</v>
      </c>
      <c r="H48" s="14" t="s">
        <v>25</v>
      </c>
      <c r="I48" s="14" t="s">
        <v>197</v>
      </c>
      <c r="J48" s="16" t="s">
        <v>25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>
        <f>IFERROR(__xludf.DUMMYFUNCTION("MAX(VALUE(IF(REGEXMATCH($F48, "" ""), LEFT($F48, (FIND("" "", $F48, 1) - 1)), 0)), VALUE(IF(REGEXMATCH($H48, "" ""), LEFT($H48, (FIND("" "", $H48, 1) - 1)), 0)), VALUE(IF(REGEXMATCH($J48, "" ""), LEFT($J48, (FIND("" "", $J48, 1) - 1)), 0)), VALUE(IF(REGEX"&amp;"MATCH($L48, "" ""), LEFT($L48, (FIND("" "", $L48, 1) - 1)), 0)), VALUE(IF(REGEXMATCH($N48, "" ""), LEFT($N48, (FIND("" "", $N48, 1) - 1)), 0)), VALUE(IF(REGEXMATCH($P48, "" ""), LEFT($P48, (FIND("" "", $P48, 1) - 1)), 0)), VALUE(IF(REGEXMATCH($R48, "" "")"&amp;", LEFT($R48, (FIND("" "", $R48, 1) - 1)), 0)), VALUE(IF(REGEXMATCH($T48, "" ""), LEFT($T48, (FIND("" "", $T48, 1) - 1)), 0)), VALUE(IF(REGEXMATCH($V48, "" ""), LEFT($V48, (FIND("" "", $V48, 1) - 1)), 0)))"),6.5)</f>
        <v>6.5</v>
      </c>
      <c r="X48" s="16">
        <f t="shared" si="1"/>
        <v>8.125</v>
      </c>
    </row>
    <row r="49">
      <c r="A49" s="14">
        <v>48.0</v>
      </c>
      <c r="B49" s="31">
        <v>1.60118733112E11</v>
      </c>
      <c r="C49" s="14" t="s">
        <v>251</v>
      </c>
      <c r="D49" s="30" t="s">
        <v>21</v>
      </c>
      <c r="E49" s="14" t="s">
        <v>136</v>
      </c>
      <c r="F49" s="14" t="s">
        <v>66</v>
      </c>
      <c r="G49" s="14" t="s">
        <v>216</v>
      </c>
      <c r="H49" s="14" t="s">
        <v>192</v>
      </c>
      <c r="I49" s="14" t="s">
        <v>108</v>
      </c>
      <c r="J49" s="14" t="s">
        <v>109</v>
      </c>
      <c r="K49" s="14" t="s">
        <v>130</v>
      </c>
      <c r="L49" s="16" t="s">
        <v>131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>
        <f>IFERROR(__xludf.DUMMYFUNCTION("MAX(VALUE(IF(REGEXMATCH($F49, "" ""), LEFT($F49, (FIND("" "", $F49, 1) - 1)), 0)), VALUE(IF(REGEXMATCH($H49, "" ""), LEFT($H49, (FIND("" "", $H49, 1) - 1)), 0)), VALUE(IF(REGEXMATCH($J49, "" ""), LEFT($J49, (FIND("" "", $J49, 1) - 1)), 0)), VALUE(IF(REGEX"&amp;"MATCH($L49, "" ""), LEFT($L49, (FIND("" "", $L49, 1) - 1)), 0)), VALUE(IF(REGEXMATCH($N49, "" ""), LEFT($N49, (FIND("" "", $N49, 1) - 1)), 0)), VALUE(IF(REGEXMATCH($P49, "" ""), LEFT($P49, (FIND("" "", $P49, 1) - 1)), 0)), VALUE(IF(REGEXMATCH($R49, "" "")"&amp;", LEFT($R49, (FIND("" "", $R49, 1) - 1)), 0)), VALUE(IF(REGEXMATCH($T49, "" ""), LEFT($T49, (FIND("" "", $T49, 1) - 1)), 0)), VALUE(IF(REGEXMATCH($V49, "" ""), LEFT($V49, (FIND("" "", $V49, 1) - 1)), 0)))"),7.6)</f>
        <v>7.6</v>
      </c>
      <c r="X49" s="16">
        <f t="shared" si="1"/>
        <v>9.5</v>
      </c>
    </row>
    <row r="50">
      <c r="A50" s="14">
        <v>49.0</v>
      </c>
      <c r="B50" s="14">
        <v>1.60118733113E11</v>
      </c>
      <c r="C50" s="14" t="s">
        <v>252</v>
      </c>
      <c r="D50" s="30" t="s">
        <v>21</v>
      </c>
      <c r="E50" s="14" t="s">
        <v>241</v>
      </c>
      <c r="F50" s="16" t="s">
        <v>142</v>
      </c>
      <c r="G50" s="14" t="s">
        <v>101</v>
      </c>
      <c r="H50" s="14" t="s">
        <v>32</v>
      </c>
      <c r="I50" s="14" t="s">
        <v>48</v>
      </c>
      <c r="J50" s="14" t="s">
        <v>25</v>
      </c>
      <c r="K50" s="14" t="s">
        <v>33</v>
      </c>
      <c r="L50" s="16" t="s">
        <v>34</v>
      </c>
      <c r="M50" s="18" t="s">
        <v>253</v>
      </c>
      <c r="N50" s="18" t="s">
        <v>173</v>
      </c>
      <c r="O50" s="16"/>
      <c r="P50" s="16"/>
      <c r="Q50" s="16"/>
      <c r="R50" s="16"/>
      <c r="S50" s="16"/>
      <c r="T50" s="16"/>
      <c r="U50" s="16"/>
      <c r="V50" s="16"/>
      <c r="W50" s="16">
        <f>IFERROR(__xludf.DUMMYFUNCTION("MAX(VALUE(IF(REGEXMATCH($F50, "" ""), LEFT($F50, (FIND("" "", $F50, 1) - 1)), 0)), VALUE(IF(REGEXMATCH($H50, "" ""), LEFT($H50, (FIND("" "", $H50, 1) - 1)), 0)), VALUE(IF(REGEXMATCH($J50, "" ""), LEFT($J50, (FIND("" "", $J50, 1) - 1)), 0)), VALUE(IF(REGEX"&amp;"MATCH($L50, "" ""), LEFT($L50, (FIND("" "", $L50, 1) - 1)), 0)), VALUE(IF(REGEXMATCH($N50, "" ""), LEFT($N50, (FIND("" "", $N50, 1) - 1)), 0)), VALUE(IF(REGEXMATCH($P50, "" ""), LEFT($P50, (FIND("" "", $P50, 1) - 1)), 0)), VALUE(IF(REGEXMATCH($R50, "" "")"&amp;", LEFT($R50, (FIND("" "", $R50, 1) - 1)), 0)), VALUE(IF(REGEXMATCH($T50, "" ""), LEFT($T50, (FIND("" "", $T50, 1) - 1)), 0)), VALUE(IF(REGEXMATCH($V50, "" ""), LEFT($V50, (FIND("" "", $V50, 1) - 1)), 0)))"),7.5)</f>
        <v>7.5</v>
      </c>
      <c r="X50" s="16">
        <f t="shared" si="1"/>
        <v>9.375</v>
      </c>
    </row>
    <row r="51">
      <c r="A51" s="14">
        <v>50.0</v>
      </c>
      <c r="B51" s="31">
        <v>1.60118733114E11</v>
      </c>
      <c r="C51" s="14" t="s">
        <v>254</v>
      </c>
      <c r="D51" s="3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>
        <f>IFERROR(__xludf.DUMMYFUNCTION("MAX(VALUE(IF(REGEXMATCH($F51, "" ""), LEFT($F51, (FIND("" "", $F51, 1) - 1)), 0)), VALUE(IF(REGEXMATCH($H51, "" ""), LEFT($H51, (FIND("" "", $H51, 1) - 1)), 0)), VALUE(IF(REGEXMATCH($J51, "" ""), LEFT($J51, (FIND("" "", $J51, 1) - 1)), 0)), VALUE(IF(REGEX"&amp;"MATCH($L51, "" ""), LEFT($L51, (FIND("" "", $L51, 1) - 1)), 0)), VALUE(IF(REGEXMATCH($N51, "" ""), LEFT($N51, (FIND("" "", $N51, 1) - 1)), 0)), VALUE(IF(REGEXMATCH($P51, "" ""), LEFT($P51, (FIND("" "", $P51, 1) - 1)), 0)), VALUE(IF(REGEXMATCH($R51, "" "")"&amp;", LEFT($R51, (FIND("" "", $R51, 1) - 1)), 0)), VALUE(IF(REGEXMATCH($T51, "" ""), LEFT($T51, (FIND("" "", $T51, 1) - 1)), 0)), VALUE(IF(REGEXMATCH($V51, "" ""), LEFT($V51, (FIND("" "", $V51, 1) - 1)), 0)))"),0.0)</f>
        <v>0</v>
      </c>
      <c r="X51" s="16">
        <f t="shared" si="1"/>
        <v>0</v>
      </c>
    </row>
    <row r="52">
      <c r="A52" s="14">
        <v>51.0</v>
      </c>
      <c r="B52" s="14">
        <v>1.60118733115E11</v>
      </c>
      <c r="C52" s="14" t="s">
        <v>255</v>
      </c>
      <c r="D52" s="30" t="s">
        <v>21</v>
      </c>
      <c r="E52" s="14" t="s">
        <v>203</v>
      </c>
      <c r="F52" s="16" t="s">
        <v>54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>
        <f>IFERROR(__xludf.DUMMYFUNCTION("MAX(VALUE(IF(REGEXMATCH($F52, "" ""), LEFT($F52, (FIND("" "", $F52, 1) - 1)), 0)), VALUE(IF(REGEXMATCH($H52, "" ""), LEFT($H52, (FIND("" "", $H52, 1) - 1)), 0)), VALUE(IF(REGEXMATCH($J52, "" ""), LEFT($J52, (FIND("" "", $J52, 1) - 1)), 0)), VALUE(IF(REGEX"&amp;"MATCH($L52, "" ""), LEFT($L52, (FIND("" "", $L52, 1) - 1)), 0)), VALUE(IF(REGEXMATCH($N52, "" ""), LEFT($N52, (FIND("" "", $N52, 1) - 1)), 0)), VALUE(IF(REGEXMATCH($P52, "" ""), LEFT($P52, (FIND("" "", $P52, 1) - 1)), 0)), VALUE(IF(REGEXMATCH($R52, "" "")"&amp;", LEFT($R52, (FIND("" "", $R52, 1) - 1)), 0)), VALUE(IF(REGEXMATCH($T52, "" ""), LEFT($T52, (FIND("" "", $T52, 1) - 1)), 0)), VALUE(IF(REGEXMATCH($V52, "" ""), LEFT($V52, (FIND("" "", $V52, 1) - 1)), 0)))"),8.1)</f>
        <v>8.1</v>
      </c>
      <c r="X52" s="16">
        <f t="shared" si="1"/>
        <v>10.125</v>
      </c>
    </row>
    <row r="53">
      <c r="A53" s="14">
        <v>52.0</v>
      </c>
      <c r="B53" s="31">
        <v>1.60118733116E11</v>
      </c>
      <c r="C53" s="14" t="s">
        <v>256</v>
      </c>
      <c r="D53" s="30" t="s">
        <v>21</v>
      </c>
      <c r="E53" s="14" t="s">
        <v>88</v>
      </c>
      <c r="F53" s="14" t="s">
        <v>89</v>
      </c>
      <c r="G53" s="14" t="s">
        <v>90</v>
      </c>
      <c r="H53" s="16" t="s">
        <v>91</v>
      </c>
      <c r="I53" s="14" t="s">
        <v>101</v>
      </c>
      <c r="J53" s="14" t="s">
        <v>32</v>
      </c>
      <c r="K53" s="14" t="s">
        <v>191</v>
      </c>
      <c r="L53" s="16" t="s">
        <v>192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>
        <f>IFERROR(__xludf.DUMMYFUNCTION("MAX(VALUE(IF(REGEXMATCH($F53, "" ""), LEFT($F53, (FIND("" "", $F53, 1) - 1)), 0)), VALUE(IF(REGEXMATCH($H53, "" ""), LEFT($H53, (FIND("" "", $H53, 1) - 1)), 0)), VALUE(IF(REGEXMATCH($J53, "" ""), LEFT($J53, (FIND("" "", $J53, 1) - 1)), 0)), VALUE(IF(REGEX"&amp;"MATCH($L53, "" ""), LEFT($L53, (FIND("" "", $L53, 1) - 1)), 0)), VALUE(IF(REGEXMATCH($N53, "" ""), LEFT($N53, (FIND("" "", $N53, 1) - 1)), 0)), VALUE(IF(REGEXMATCH($P53, "" ""), LEFT($P53, (FIND("" "", $P53, 1) - 1)), 0)), VALUE(IF(REGEXMATCH($R53, "" "")"&amp;", LEFT($R53, (FIND("" "", $R53, 1) - 1)), 0)), VALUE(IF(REGEXMATCH($T53, "" ""), LEFT($T53, (FIND("" "", $T53, 1) - 1)), 0)), VALUE(IF(REGEXMATCH($V53, "" ""), LEFT($V53, (FIND("" "", $V53, 1) - 1)), 0)))"),12.73)</f>
        <v>12.73</v>
      </c>
      <c r="X53" s="16">
        <f t="shared" si="1"/>
        <v>15.9125</v>
      </c>
    </row>
    <row r="54">
      <c r="A54" s="14">
        <v>53.0</v>
      </c>
      <c r="B54" s="14">
        <v>1.60118733117E11</v>
      </c>
      <c r="C54" s="14" t="s">
        <v>257</v>
      </c>
      <c r="D54" s="30" t="s">
        <v>21</v>
      </c>
      <c r="E54" s="14" t="s">
        <v>24</v>
      </c>
      <c r="F54" s="14" t="s">
        <v>25</v>
      </c>
      <c r="G54" s="16" t="s">
        <v>33</v>
      </c>
      <c r="H54" s="14" t="s">
        <v>34</v>
      </c>
      <c r="I54" s="14" t="s">
        <v>185</v>
      </c>
      <c r="J54" s="16" t="s">
        <v>186</v>
      </c>
      <c r="K54" s="18" t="s">
        <v>206</v>
      </c>
      <c r="L54" s="18" t="s">
        <v>207</v>
      </c>
      <c r="M54" s="18" t="s">
        <v>35</v>
      </c>
      <c r="N54" s="18" t="s">
        <v>36</v>
      </c>
      <c r="O54" s="16"/>
      <c r="P54" s="16"/>
      <c r="Q54" s="16"/>
      <c r="R54" s="16"/>
      <c r="S54" s="16"/>
      <c r="T54" s="16"/>
      <c r="U54" s="16"/>
      <c r="V54" s="16"/>
      <c r="W54" s="16">
        <f>IFERROR(__xludf.DUMMYFUNCTION("MAX(VALUE(IF(REGEXMATCH($F54, "" ""), LEFT($F54, (FIND("" "", $F54, 1) - 1)), 0)), VALUE(IF(REGEXMATCH($H54, "" ""), LEFT($H54, (FIND("" "", $H54, 1) - 1)), 0)), VALUE(IF(REGEXMATCH($J54, "" ""), LEFT($J54, (FIND("" "", $J54, 1) - 1)), 0)), VALUE(IF(REGEX"&amp;"MATCH($L54, "" ""), LEFT($L54, (FIND("" "", $L54, 1) - 1)), 0)), VALUE(IF(REGEXMATCH($N54, "" ""), LEFT($N54, (FIND("" "", $N54, 1) - 1)), 0)), VALUE(IF(REGEXMATCH($P54, "" ""), LEFT($P54, (FIND("" "", $P54, 1) - 1)), 0)), VALUE(IF(REGEXMATCH($R54, "" "")"&amp;", LEFT($R54, (FIND("" "", $R54, 1) - 1)), 0)), VALUE(IF(REGEXMATCH($T54, "" ""), LEFT($T54, (FIND("" "", $T54, 1) - 1)), 0)), VALUE(IF(REGEXMATCH($V54, "" ""), LEFT($V54, (FIND("" "", $V54, 1) - 1)), 0)))"),8.5)</f>
        <v>8.5</v>
      </c>
      <c r="X54" s="16">
        <f t="shared" si="1"/>
        <v>10.625</v>
      </c>
    </row>
    <row r="55">
      <c r="A55" s="14">
        <v>54.0</v>
      </c>
      <c r="B55" s="31">
        <v>1.60118733118E11</v>
      </c>
      <c r="C55" s="14" t="s">
        <v>258</v>
      </c>
      <c r="D55" s="30"/>
      <c r="E55" s="14" t="s">
        <v>33</v>
      </c>
      <c r="F55" s="14" t="s">
        <v>34</v>
      </c>
      <c r="G55" s="14" t="s">
        <v>212</v>
      </c>
      <c r="H55" s="16" t="s">
        <v>213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>
        <f>IFERROR(__xludf.DUMMYFUNCTION("MAX(VALUE(IF(REGEXMATCH($F55, "" ""), LEFT($F55, (FIND("" "", $F55, 1) - 1)), 0)), VALUE(IF(REGEXMATCH($H55, "" ""), LEFT($H55, (FIND("" "", $H55, 1) - 1)), 0)), VALUE(IF(REGEXMATCH($J55, "" ""), LEFT($J55, (FIND("" "", $J55, 1) - 1)), 0)), VALUE(IF(REGEX"&amp;"MATCH($L55, "" ""), LEFT($L55, (FIND("" "", $L55, 1) - 1)), 0)), VALUE(IF(REGEXMATCH($N55, "" ""), LEFT($N55, (FIND("" "", $N55, 1) - 1)), 0)), VALUE(IF(REGEXMATCH($P55, "" ""), LEFT($P55, (FIND("" "", $P55, 1) - 1)), 0)), VALUE(IF(REGEXMATCH($R55, "" "")"&amp;", LEFT($R55, (FIND("" "", $R55, 1) - 1)), 0)), VALUE(IF(REGEXMATCH($T55, "" ""), LEFT($T55, (FIND("" "", $T55, 1) - 1)), 0)), VALUE(IF(REGEXMATCH($V55, "" ""), LEFT($V55, (FIND("" "", $V55, 1) - 1)), 0)))"),3.5)</f>
        <v>3.5</v>
      </c>
      <c r="X55" s="16">
        <f t="shared" si="1"/>
        <v>4.375</v>
      </c>
    </row>
    <row r="56">
      <c r="A56" s="14">
        <v>55.0</v>
      </c>
      <c r="B56" s="14">
        <v>1.60118733119E11</v>
      </c>
      <c r="C56" s="14" t="s">
        <v>259</v>
      </c>
      <c r="D56" s="30"/>
      <c r="E56" s="14" t="s">
        <v>29</v>
      </c>
      <c r="F56" s="16" t="s">
        <v>30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>
        <f>IFERROR(__xludf.DUMMYFUNCTION("MAX(VALUE(IF(REGEXMATCH($F56, "" ""), LEFT($F56, (FIND("" "", $F56, 1) - 1)), 0)), VALUE(IF(REGEXMATCH($H56, "" ""), LEFT($H56, (FIND("" "", $H56, 1) - 1)), 0)), VALUE(IF(REGEXMATCH($J56, "" ""), LEFT($J56, (FIND("" "", $J56, 1) - 1)), 0)), VALUE(IF(REGEX"&amp;"MATCH($L56, "" ""), LEFT($L56, (FIND("" "", $L56, 1) - 1)), 0)), VALUE(IF(REGEXMATCH($N56, "" ""), LEFT($N56, (FIND("" "", $N56, 1) - 1)), 0)), VALUE(IF(REGEXMATCH($P56, "" ""), LEFT($P56, (FIND("" "", $P56, 1) - 1)), 0)), VALUE(IF(REGEXMATCH($R56, "" "")"&amp;", LEFT($R56, (FIND("" "", $R56, 1) - 1)), 0)), VALUE(IF(REGEXMATCH($T56, "" ""), LEFT($T56, (FIND("" "", $T56, 1) - 1)), 0)), VALUE(IF(REGEXMATCH($V56, "" ""), LEFT($V56, (FIND("" "", $V56, 1) - 1)), 0)))"),6.0)</f>
        <v>6</v>
      </c>
      <c r="X56" s="16">
        <f t="shared" si="1"/>
        <v>7.5</v>
      </c>
    </row>
    <row r="57">
      <c r="A57" s="14">
        <v>56.0</v>
      </c>
      <c r="B57" s="31">
        <v>1.6011873312E11</v>
      </c>
      <c r="C57" s="14" t="s">
        <v>260</v>
      </c>
      <c r="D57" s="34"/>
      <c r="E57" s="14" t="s">
        <v>27</v>
      </c>
      <c r="F57" s="16" t="s">
        <v>28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>
        <f>IFERROR(__xludf.DUMMYFUNCTION("MAX(VALUE(IF(REGEXMATCH($F57, "" ""), LEFT($F57, (FIND("" "", $F57, 1) - 1)), 0)), VALUE(IF(REGEXMATCH($H57, "" ""), LEFT($H57, (FIND("" "", $H57, 1) - 1)), 0)), VALUE(IF(REGEXMATCH($J57, "" ""), LEFT($J57, (FIND("" "", $J57, 1) - 1)), 0)), VALUE(IF(REGEX"&amp;"MATCH($L57, "" ""), LEFT($L57, (FIND("" "", $L57, 1) - 1)), 0)), VALUE(IF(REGEXMATCH($N57, "" ""), LEFT($N57, (FIND("" "", $N57, 1) - 1)), 0)), VALUE(IF(REGEXMATCH($P57, "" ""), LEFT($P57, (FIND("" "", $P57, 1) - 1)), 0)), VALUE(IF(REGEXMATCH($R57, "" "")"&amp;", LEFT($R57, (FIND("" "", $R57, 1) - 1)), 0)), VALUE(IF(REGEXMATCH($T57, "" ""), LEFT($T57, (FIND("" "", $T57, 1) - 1)), 0)), VALUE(IF(REGEXMATCH($V57, "" ""), LEFT($V57, (FIND("" "", $V57, 1) - 1)), 0)))"),4.5)</f>
        <v>4.5</v>
      </c>
      <c r="X57" s="16">
        <f t="shared" si="1"/>
        <v>5.625</v>
      </c>
    </row>
    <row r="58">
      <c r="A58" s="14">
        <v>57.0</v>
      </c>
      <c r="B58" s="14">
        <v>1.60118733183E11</v>
      </c>
      <c r="C58" s="14" t="s">
        <v>261</v>
      </c>
      <c r="D58" s="32" t="s">
        <v>21</v>
      </c>
      <c r="E58" s="14" t="s">
        <v>262</v>
      </c>
      <c r="F58" s="16" t="s">
        <v>263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>
        <f>IFERROR(__xludf.DUMMYFUNCTION("MAX(VALUE(IF(REGEXMATCH($F58, "" ""), LEFT($F58, (FIND("" "", $F58, 1) - 1)), 0)), VALUE(IF(REGEXMATCH($H58, "" ""), LEFT($H58, (FIND("" "", $H58, 1) - 1)), 0)), VALUE(IF(REGEXMATCH($J58, "" ""), LEFT($J58, (FIND("" "", $J58, 1) - 1)), 0)), VALUE(IF(REGEX"&amp;"MATCH($L58, "" ""), LEFT($L58, (FIND("" "", $L58, 1) - 1)), 0)), VALUE(IF(REGEXMATCH($N58, "" ""), LEFT($N58, (FIND("" "", $N58, 1) - 1)), 0)), VALUE(IF(REGEXMATCH($P58, "" ""), LEFT($P58, (FIND("" "", $P58, 1) - 1)), 0)), VALUE(IF(REGEXMATCH($R58, "" "")"&amp;", LEFT($R58, (FIND("" "", $R58, 1) - 1)), 0)), VALUE(IF(REGEXMATCH($T58, "" ""), LEFT($T58, (FIND("" "", $T58, 1) - 1)), 0)), VALUE(IF(REGEXMATCH($V58, "" ""), LEFT($V58, (FIND("" "", $V58, 1) - 1)), 0)))"),5.5)</f>
        <v>5.5</v>
      </c>
      <c r="X58" s="16">
        <f t="shared" si="1"/>
        <v>6.875</v>
      </c>
    </row>
    <row r="59">
      <c r="A59" s="14">
        <v>58.0</v>
      </c>
      <c r="B59" s="14">
        <v>1.60118733184E11</v>
      </c>
      <c r="C59" s="14" t="s">
        <v>264</v>
      </c>
      <c r="D59" s="32"/>
      <c r="E59" s="14" t="s">
        <v>24</v>
      </c>
      <c r="F59" s="14" t="s">
        <v>25</v>
      </c>
      <c r="G59" s="18" t="s">
        <v>265</v>
      </c>
      <c r="H59" s="18" t="s">
        <v>266</v>
      </c>
      <c r="I59" s="14" t="s">
        <v>27</v>
      </c>
      <c r="J59" s="14" t="s">
        <v>28</v>
      </c>
      <c r="K59" s="14" t="s">
        <v>84</v>
      </c>
      <c r="L59" s="14" t="s">
        <v>32</v>
      </c>
      <c r="M59" s="14" t="s">
        <v>22</v>
      </c>
      <c r="N59" s="14" t="s">
        <v>23</v>
      </c>
      <c r="O59" s="14"/>
      <c r="P59" s="14"/>
      <c r="Q59" s="14"/>
      <c r="R59" s="14"/>
      <c r="S59" s="14"/>
      <c r="T59" s="14"/>
      <c r="U59" s="14"/>
      <c r="V59" s="16"/>
      <c r="W59" s="16">
        <f>IFERROR(__xludf.DUMMYFUNCTION("MAX(VALUE(IF(REGEXMATCH($F59, "" ""), LEFT($F59, (FIND("" "", $F59, 1) - 1)), 0)), VALUE(IF(REGEXMATCH($H59, "" ""), LEFT($H59, (FIND("" "", $H59, 1) - 1)), 0)), VALUE(IF(REGEXMATCH($J59, "" ""), LEFT($J59, (FIND("" "", $J59, 1) - 1)), 0)), VALUE(IF(REGEX"&amp;"MATCH($L59, "" ""), LEFT($L59, (FIND("" "", $L59, 1) - 1)), 0)), VALUE(IF(REGEXMATCH($N59, "" ""), LEFT($N59, (FIND("" "", $N59, 1) - 1)), 0)), VALUE(IF(REGEXMATCH($P59, "" ""), LEFT($P59, (FIND("" "", $P59, 1) - 1)), 0)), VALUE(IF(REGEXMATCH($R59, "" "")"&amp;", LEFT($R59, (FIND("" "", $R59, 1) - 1)), 0)), VALUE(IF(REGEXMATCH($T59, "" ""), LEFT($T59, (FIND("" "", $T59, 1) - 1)), 0)), VALUE(IF(REGEXMATCH($V59, "" ""), LEFT($V59, (FIND("" "", $V59, 1) - 1)), 0)))"),31.5)</f>
        <v>31.5</v>
      </c>
      <c r="X59" s="16">
        <f t="shared" si="1"/>
        <v>39.375</v>
      </c>
    </row>
    <row r="60">
      <c r="A60" s="14">
        <v>59.0</v>
      </c>
      <c r="B60" s="14">
        <v>1.60118733187E11</v>
      </c>
      <c r="C60" s="14" t="s">
        <v>267</v>
      </c>
      <c r="D60" s="30" t="s">
        <v>21</v>
      </c>
      <c r="E60" s="14" t="s">
        <v>24</v>
      </c>
      <c r="F60" s="14" t="s">
        <v>25</v>
      </c>
      <c r="G60" s="14" t="s">
        <v>45</v>
      </c>
      <c r="H60" s="14" t="s">
        <v>46</v>
      </c>
      <c r="I60" s="14" t="s">
        <v>222</v>
      </c>
      <c r="J60" s="14" t="s">
        <v>30</v>
      </c>
      <c r="K60" s="14" t="s">
        <v>268</v>
      </c>
      <c r="L60" s="16" t="s">
        <v>269</v>
      </c>
      <c r="M60" s="16" t="s">
        <v>177</v>
      </c>
      <c r="N60" s="16" t="s">
        <v>34</v>
      </c>
      <c r="O60" s="16"/>
      <c r="P60" s="16"/>
      <c r="Q60" s="16"/>
      <c r="R60" s="16"/>
      <c r="S60" s="16"/>
      <c r="T60" s="16"/>
      <c r="U60" s="16"/>
      <c r="V60" s="16"/>
      <c r="W60" s="16">
        <f>IFERROR(__xludf.DUMMYFUNCTION("MAX(VALUE(IF(REGEXMATCH($F60, "" ""), LEFT($F60, (FIND("" "", $F60, 1) - 1)), 0)), VALUE(IF(REGEXMATCH($H60, "" ""), LEFT($H60, (FIND("" "", $H60, 1) - 1)), 0)), VALUE(IF(REGEXMATCH($J60, "" ""), LEFT($J60, (FIND("" "", $J60, 1) - 1)), 0)), VALUE(IF(REGEX"&amp;"MATCH($L60, "" ""), LEFT($L60, (FIND("" "", $L60, 1) - 1)), 0)), VALUE(IF(REGEXMATCH($N60, "" ""), LEFT($N60, (FIND("" "", $N60, 1) - 1)), 0)), VALUE(IF(REGEXMATCH($P60, "" ""), LEFT($P60, (FIND("" "", $P60, 1) - 1)), 0)), VALUE(IF(REGEXMATCH($R60, "" "")"&amp;", LEFT($R60, (FIND("" "", $R60, 1) - 1)), 0)), VALUE(IF(REGEXMATCH($T60, "" ""), LEFT($T60, (FIND("" "", $T60, 1) - 1)), 0)), VALUE(IF(REGEXMATCH($V60, "" ""), LEFT($V60, (FIND("" "", $V60, 1) - 1)), 0)))"),6.0)</f>
        <v>6</v>
      </c>
      <c r="X60" s="16">
        <f t="shared" si="1"/>
        <v>7.5</v>
      </c>
    </row>
    <row r="61">
      <c r="A61" s="14">
        <v>60.0</v>
      </c>
      <c r="B61" s="14">
        <v>1.60118733307E11</v>
      </c>
      <c r="C61" s="14" t="s">
        <v>270</v>
      </c>
      <c r="D61" s="30"/>
      <c r="E61" s="14" t="s">
        <v>33</v>
      </c>
      <c r="F61" s="16" t="s">
        <v>34</v>
      </c>
      <c r="G61" s="18" t="s">
        <v>271</v>
      </c>
      <c r="H61" s="18" t="s">
        <v>263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>
        <f>IFERROR(__xludf.DUMMYFUNCTION("MAX(VALUE(IF(REGEXMATCH($F61, "" ""), LEFT($F61, (FIND("" "", $F61, 1) - 1)), 0)), VALUE(IF(REGEXMATCH($H61, "" ""), LEFT($H61, (FIND("" "", $H61, 1) - 1)), 0)), VALUE(IF(REGEXMATCH($J61, "" ""), LEFT($J61, (FIND("" "", $J61, 1) - 1)), 0)), VALUE(IF(REGEX"&amp;"MATCH($L61, "" ""), LEFT($L61, (FIND("" "", $L61, 1) - 1)), 0)), VALUE(IF(REGEXMATCH($N61, "" ""), LEFT($N61, (FIND("" "", $N61, 1) - 1)), 0)), VALUE(IF(REGEXMATCH($P61, "" ""), LEFT($P61, (FIND("" "", $P61, 1) - 1)), 0)), VALUE(IF(REGEXMATCH($R61, "" "")"&amp;", LEFT($R61, (FIND("" "", $R61, 1) - 1)), 0)), VALUE(IF(REGEXMATCH($T61, "" ""), LEFT($T61, (FIND("" "", $T61, 1) - 1)), 0)), VALUE(IF(REGEXMATCH($V61, "" ""), LEFT($V61, (FIND("" "", $V61, 1) - 1)), 0)))"),5.5)</f>
        <v>5.5</v>
      </c>
      <c r="X61" s="16">
        <f t="shared" si="1"/>
        <v>6.875</v>
      </c>
    </row>
    <row r="62">
      <c r="A62" s="14">
        <v>61.0</v>
      </c>
      <c r="B62" s="14">
        <v>1.60118733308E11</v>
      </c>
      <c r="C62" s="14" t="s">
        <v>272</v>
      </c>
      <c r="D62" s="30" t="s">
        <v>21</v>
      </c>
      <c r="E62" s="14" t="s">
        <v>88</v>
      </c>
      <c r="F62" s="14" t="s">
        <v>89</v>
      </c>
      <c r="G62" s="14" t="s">
        <v>90</v>
      </c>
      <c r="H62" s="16" t="s">
        <v>91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>
        <f>IFERROR(__xludf.DUMMYFUNCTION("MAX(VALUE(IF(REGEXMATCH($F62, "" ""), LEFT($F62, (FIND("" "", $F62, 1) - 1)), 0)), VALUE(IF(REGEXMATCH($H62, "" ""), LEFT($H62, (FIND("" "", $H62, 1) - 1)), 0)), VALUE(IF(REGEXMATCH($J62, "" ""), LEFT($J62, (FIND("" "", $J62, 1) - 1)), 0)), VALUE(IF(REGEX"&amp;"MATCH($L62, "" ""), LEFT($L62, (FIND("" "", $L62, 1) - 1)), 0)), VALUE(IF(REGEXMATCH($N62, "" ""), LEFT($N62, (FIND("" "", $N62, 1) - 1)), 0)), VALUE(IF(REGEXMATCH($P62, "" ""), LEFT($P62, (FIND("" "", $P62, 1) - 1)), 0)), VALUE(IF(REGEXMATCH($R62, "" "")"&amp;", LEFT($R62, (FIND("" "", $R62, 1) - 1)), 0)), VALUE(IF(REGEXMATCH($T62, "" ""), LEFT($T62, (FIND("" "", $T62, 1) - 1)), 0)), VALUE(IF(REGEXMATCH($V62, "" ""), LEFT($V62, (FIND("" "", $V62, 1) - 1)), 0)))"),12.73)</f>
        <v>12.73</v>
      </c>
      <c r="X62" s="16">
        <f t="shared" si="1"/>
        <v>15.9125</v>
      </c>
    </row>
    <row r="63">
      <c r="A63" s="14">
        <v>62.0</v>
      </c>
      <c r="B63" s="14">
        <v>1.60118733309E11</v>
      </c>
      <c r="C63" s="14" t="s">
        <v>273</v>
      </c>
      <c r="D63" s="30" t="s">
        <v>21</v>
      </c>
      <c r="E63" s="14" t="s">
        <v>44</v>
      </c>
      <c r="F63" s="16" t="s">
        <v>42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>
        <f>IFERROR(__xludf.DUMMYFUNCTION("MAX(VALUE(IF(REGEXMATCH($F63, "" ""), LEFT($F63, (FIND("" "", $F63, 1) - 1)), 0)), VALUE(IF(REGEXMATCH($H63, "" ""), LEFT($H63, (FIND("" "", $H63, 1) - 1)), 0)), VALUE(IF(REGEXMATCH($J63, "" ""), LEFT($J63, (FIND("" "", $J63, 1) - 1)), 0)), VALUE(IF(REGEX"&amp;"MATCH($L63, "" ""), LEFT($L63, (FIND("" "", $L63, 1) - 1)), 0)), VALUE(IF(REGEXMATCH($N63, "" ""), LEFT($N63, (FIND("" "", $N63, 1) - 1)), 0)), VALUE(IF(REGEXMATCH($P63, "" ""), LEFT($P63, (FIND("" "", $P63, 1) - 1)), 0)), VALUE(IF(REGEXMATCH($R63, "" "")"&amp;", LEFT($R63, (FIND("" "", $R63, 1) - 1)), 0)), VALUE(IF(REGEXMATCH($T63, "" ""), LEFT($T63, (FIND("" "", $T63, 1) - 1)), 0)), VALUE(IF(REGEXMATCH($V63, "" ""), LEFT($V63, (FIND("" "", $V63, 1) - 1)), 0)))"),14.0)</f>
        <v>14</v>
      </c>
      <c r="X63" s="16">
        <f t="shared" si="1"/>
        <v>17.5</v>
      </c>
    </row>
    <row r="64">
      <c r="A64" s="14">
        <v>63.0</v>
      </c>
      <c r="B64" s="14">
        <v>1.6011873331E11</v>
      </c>
      <c r="C64" s="14" t="s">
        <v>274</v>
      </c>
      <c r="D64" s="30"/>
      <c r="E64" s="14" t="s">
        <v>185</v>
      </c>
      <c r="F64" s="16" t="s">
        <v>186</v>
      </c>
      <c r="G64" s="18" t="s">
        <v>35</v>
      </c>
      <c r="H64" s="18" t="s">
        <v>36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>
        <f>IFERROR(__xludf.DUMMYFUNCTION("MAX(VALUE(IF(REGEXMATCH($F64, "" ""), LEFT($F64, (FIND("" "", $F64, 1) - 1)), 0)), VALUE(IF(REGEXMATCH($H64, "" ""), LEFT($H64, (FIND("" "", $H64, 1) - 1)), 0)), VALUE(IF(REGEXMATCH($J64, "" ""), LEFT($J64, (FIND("" "", $J64, 1) - 1)), 0)), VALUE(IF(REGEX"&amp;"MATCH($L64, "" ""), LEFT($L64, (FIND("" "", $L64, 1) - 1)), 0)), VALUE(IF(REGEXMATCH($N64, "" ""), LEFT($N64, (FIND("" "", $N64, 1) - 1)), 0)), VALUE(IF(REGEXMATCH($P64, "" ""), LEFT($P64, (FIND("" "", $P64, 1) - 1)), 0)), VALUE(IF(REGEXMATCH($R64, "" "")"&amp;", LEFT($R64, (FIND("" "", $R64, 1) - 1)), 0)), VALUE(IF(REGEXMATCH($T64, "" ""), LEFT($T64, (FIND("" "", $T64, 1) - 1)), 0)), VALUE(IF(REGEXMATCH($V64, "" ""), LEFT($V64, (FIND("" "", $V64, 1) - 1)), 0)))"),8.5)</f>
        <v>8.5</v>
      </c>
      <c r="X64" s="16">
        <f t="shared" si="1"/>
        <v>10.625</v>
      </c>
    </row>
    <row r="65">
      <c r="A65" s="14">
        <v>64.0</v>
      </c>
      <c r="B65" s="14">
        <v>1.60118733311E11</v>
      </c>
      <c r="C65" s="18" t="s">
        <v>275</v>
      </c>
      <c r="D65" s="34"/>
      <c r="E65" s="16" t="s">
        <v>177</v>
      </c>
      <c r="F65" s="16" t="s">
        <v>34</v>
      </c>
      <c r="G65" s="18" t="s">
        <v>276</v>
      </c>
      <c r="H65" s="18" t="s">
        <v>28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>
        <f>IFERROR(__xludf.DUMMYFUNCTION("MAX(VALUE(IF(REGEXMATCH($F65, "" ""), LEFT($F65, (FIND("" "", $F65, 1) - 1)), 0)), VALUE(IF(REGEXMATCH($H65, "" ""), LEFT($H65, (FIND("" "", $H65, 1) - 1)), 0)), VALUE(IF(REGEXMATCH($J65, "" ""), LEFT($J65, (FIND("" "", $J65, 1) - 1)), 0)), VALUE(IF(REGEX"&amp;"MATCH($L65, "" ""), LEFT($L65, (FIND("" "", $L65, 1) - 1)), 0)), VALUE(IF(REGEXMATCH($N65, "" ""), LEFT($N65, (FIND("" "", $N65, 1) - 1)), 0)), VALUE(IF(REGEXMATCH($P65, "" ""), LEFT($P65, (FIND("" "", $P65, 1) - 1)), 0)), VALUE(IF(REGEXMATCH($R65, "" "")"&amp;", LEFT($R65, (FIND("" "", $R65, 1) - 1)), 0)), VALUE(IF(REGEXMATCH($T65, "" ""), LEFT($T65, (FIND("" "", $T65, 1) - 1)), 0)), VALUE(IF(REGEXMATCH($V65, "" ""), LEFT($V65, (FIND("" "", $V65, 1) - 1)), 0)))"),4.5)</f>
        <v>4.5</v>
      </c>
      <c r="X65" s="16">
        <f t="shared" si="1"/>
        <v>5.625</v>
      </c>
    </row>
    <row r="66">
      <c r="A66" s="14">
        <v>65.0</v>
      </c>
      <c r="B66" s="14">
        <v>1.60118733312E11</v>
      </c>
      <c r="C66" s="14" t="s">
        <v>277</v>
      </c>
      <c r="D66" s="32" t="s">
        <v>21</v>
      </c>
      <c r="E66" s="18" t="s">
        <v>278</v>
      </c>
      <c r="F66" s="35" t="s">
        <v>279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>
        <f>IFERROR(__xludf.DUMMYFUNCTION("MAX(VALUE(IF(REGEXMATCH($F66, "" ""), LEFT($F66, (FIND("" "", $F66, 1) - 1)), 0)), VALUE(IF(REGEXMATCH($H66, "" ""), LEFT($H66, (FIND("" "", $H66, 1) - 1)), 0)), VALUE(IF(REGEXMATCH($J66, "" ""), LEFT($J66, (FIND("" "", $J66, 1) - 1)), 0)), VALUE(IF(REGEX"&amp;"MATCH($L66, "" ""), LEFT($L66, (FIND("" "", $L66, 1) - 1)), 0)), VALUE(IF(REGEXMATCH($N66, "" ""), LEFT($N66, (FIND("" "", $N66, 1) - 1)), 0)), VALUE(IF(REGEXMATCH($P66, "" ""), LEFT($P66, (FIND("" "", $P66, 1) - 1)), 0)), VALUE(IF(REGEXMATCH($R66, "" "")"&amp;", LEFT($R66, (FIND("" "", $R66, 1) - 1)), 0)), VALUE(IF(REGEXMATCH($T66, "" ""), LEFT($T66, (FIND("" "", $T66, 1) - 1)), 0)), VALUE(IF(REGEXMATCH($V66, "" ""), LEFT($V66, (FIND("" "", $V66, 1) - 1)), 0)))"),0.0)</f>
        <v>0</v>
      </c>
      <c r="X66" s="16">
        <f t="shared" si="1"/>
        <v>0</v>
      </c>
    </row>
    <row r="67">
      <c r="A67" s="14">
        <v>66.0</v>
      </c>
      <c r="B67" s="14">
        <v>1.60116733088E11</v>
      </c>
      <c r="C67" s="14" t="s">
        <v>280</v>
      </c>
      <c r="D67" s="3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>
        <f>IFERROR(__xludf.DUMMYFUNCTION("MAX(VALUE(IF(REGEXMATCH($F67, "" ""), LEFT($F67, (FIND("" "", $F67, 1) - 1)), 0)), VALUE(IF(REGEXMATCH($H67, "" ""), LEFT($H67, (FIND("" "", $H67, 1) - 1)), 0)), VALUE(IF(REGEXMATCH($J67, "" ""), LEFT($J67, (FIND("" "", $J67, 1) - 1)), 0)), VALUE(IF(REGEX"&amp;"MATCH($L67, "" ""), LEFT($L67, (FIND("" "", $L67, 1) - 1)), 0)), VALUE(IF(REGEXMATCH($N67, "" ""), LEFT($N67, (FIND("" "", $N67, 1) - 1)), 0)), VALUE(IF(REGEXMATCH($P67, "" ""), LEFT($P67, (FIND("" "", $P67, 1) - 1)), 0)), VALUE(IF(REGEXMATCH($R67, "" "")"&amp;", LEFT($R67, (FIND("" "", $R67, 1) - 1)), 0)), VALUE(IF(REGEXMATCH($T67, "" ""), LEFT($T67, (FIND("" "", $T67, 1) - 1)), 0)), VALUE(IF(REGEXMATCH($V67, "" ""), LEFT($V67, (FIND("" "", $V67, 1) - 1)), 0)))"),0.0)</f>
        <v>0</v>
      </c>
      <c r="X67" s="16">
        <f t="shared" si="1"/>
        <v>0</v>
      </c>
    </row>
    <row r="68">
      <c r="A68" s="14">
        <v>67.0</v>
      </c>
      <c r="B68" s="14">
        <v>1.60117733085E11</v>
      </c>
      <c r="C68" s="14" t="s">
        <v>281</v>
      </c>
      <c r="D68" s="3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>
        <f>IFERROR(__xludf.DUMMYFUNCTION("MAX(VALUE(IF(REGEXMATCH($F68, "" ""), LEFT($F68, (FIND("" "", $F68, 1) - 1)), 0)), VALUE(IF(REGEXMATCH($H68, "" ""), LEFT($H68, (FIND("" "", $H68, 1) - 1)), 0)), VALUE(IF(REGEXMATCH($J68, "" ""), LEFT($J68, (FIND("" "", $J68, 1) - 1)), 0)), VALUE(IF(REGEX"&amp;"MATCH($L68, "" ""), LEFT($L68, (FIND("" "", $L68, 1) - 1)), 0)), VALUE(IF(REGEXMATCH($N68, "" ""), LEFT($N68, (FIND("" "", $N68, 1) - 1)), 0)), VALUE(IF(REGEXMATCH($P68, "" ""), LEFT($P68, (FIND("" "", $P68, 1) - 1)), 0)), VALUE(IF(REGEXMATCH($R68, "" "")"&amp;", LEFT($R68, (FIND("" "", $R68, 1) - 1)), 0)), VALUE(IF(REGEXMATCH($T68, "" ""), LEFT($T68, (FIND("" "", $T68, 1) - 1)), 0)), VALUE(IF(REGEXMATCH($V68, "" ""), LEFT($V68, (FIND("" "", $V68, 1) - 1)), 0)))"),0.0)</f>
        <v>0</v>
      </c>
      <c r="X68" s="16">
        <f t="shared" si="1"/>
        <v>0</v>
      </c>
    </row>
    <row r="69">
      <c r="A69" s="14">
        <v>68.0</v>
      </c>
      <c r="B69" s="14">
        <v>1.60117733097E11</v>
      </c>
      <c r="C69" s="14" t="s">
        <v>282</v>
      </c>
      <c r="D69" s="20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>
        <f>IFERROR(__xludf.DUMMYFUNCTION("MAX(VALUE(IF(REGEXMATCH($F69, "" ""), LEFT($F69, (FIND("" "", $F69, 1) - 1)), 0)), VALUE(IF(REGEXMATCH($H69, "" ""), LEFT($H69, (FIND("" "", $H69, 1) - 1)), 0)), VALUE(IF(REGEXMATCH($J69, "" ""), LEFT($J69, (FIND("" "", $J69, 1) - 1)), 0)), VALUE(IF(REGEX"&amp;"MATCH($L69, "" ""), LEFT($L69, (FIND("" "", $L69, 1) - 1)), 0)), VALUE(IF(REGEXMATCH($N69, "" ""), LEFT($N69, (FIND("" "", $N69, 1) - 1)), 0)), VALUE(IF(REGEXMATCH($P69, "" ""), LEFT($P69, (FIND("" "", $P69, 1) - 1)), 0)), VALUE(IF(REGEXMATCH($R69, "" "")"&amp;", LEFT($R69, (FIND("" "", $R69, 1) - 1)), 0)), VALUE(IF(REGEXMATCH($T69, "" ""), LEFT($T69, (FIND("" "", $T69, 1) - 1)), 0)), VALUE(IF(REGEXMATCH($V69, "" ""), LEFT($V69, (FIND("" "", $V69, 1) - 1)), 0)))"),0.0)</f>
        <v>0</v>
      </c>
      <c r="X69" s="16">
        <f t="shared" si="1"/>
        <v>0</v>
      </c>
    </row>
    <row r="70">
      <c r="A70" s="14">
        <v>69.0</v>
      </c>
      <c r="B70" s="14">
        <v>1.60117733113E11</v>
      </c>
      <c r="C70" s="14" t="s">
        <v>283</v>
      </c>
      <c r="D70" s="20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>
        <f>IFERROR(__xludf.DUMMYFUNCTION("MAX(VALUE(IF(REGEXMATCH($F70, "" ""), LEFT($F70, (FIND("" "", $F70, 1) - 1)), 0)), VALUE(IF(REGEXMATCH($H70, "" ""), LEFT($H70, (FIND("" "", $H70, 1) - 1)), 0)), VALUE(IF(REGEXMATCH($J70, "" ""), LEFT($J70, (FIND("" "", $J70, 1) - 1)), 0)), VALUE(IF(REGEX"&amp;"MATCH($L70, "" ""), LEFT($L70, (FIND("" "", $L70, 1) - 1)), 0)), VALUE(IF(REGEXMATCH($N70, "" ""), LEFT($N70, (FIND("" "", $N70, 1) - 1)), 0)), VALUE(IF(REGEXMATCH($P70, "" ""), LEFT($P70, (FIND("" "", $P70, 1) - 1)), 0)), VALUE(IF(REGEXMATCH($R70, "" "")"&amp;", LEFT($R70, (FIND("" "", $R70, 1) - 1)), 0)), VALUE(IF(REGEXMATCH($T70, "" ""), LEFT($T70, (FIND("" "", $T70, 1) - 1)), 0)), VALUE(IF(REGEXMATCH($V70, "" ""), LEFT($V70, (FIND("" "", $V70, 1) - 1)), 0)))"),0.0)</f>
        <v>0</v>
      </c>
      <c r="X70" s="16">
        <f t="shared" si="1"/>
        <v>0</v>
      </c>
    </row>
    <row r="71">
      <c r="A71" s="14">
        <v>70.0</v>
      </c>
      <c r="B71" s="14">
        <v>1.60117733321E11</v>
      </c>
      <c r="C71" s="14" t="s">
        <v>284</v>
      </c>
      <c r="D71" s="20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>
        <f>IFERROR(__xludf.DUMMYFUNCTION("MAX(VALUE(IF(REGEXMATCH($F71, "" ""), LEFT($F71, (FIND("" "", $F71, 1) - 1)), 0)), VALUE(IF(REGEXMATCH($H71, "" ""), LEFT($H71, (FIND("" "", $H71, 1) - 1)), 0)), VALUE(IF(REGEXMATCH($J71, "" ""), LEFT($J71, (FIND("" "", $J71, 1) - 1)), 0)), VALUE(IF(REGEX"&amp;"MATCH($L71, "" ""), LEFT($L71, (FIND("" "", $L71, 1) - 1)), 0)), VALUE(IF(REGEXMATCH($N71, "" ""), LEFT($N71, (FIND("" "", $N71, 1) - 1)), 0)), VALUE(IF(REGEXMATCH($P71, "" ""), LEFT($P71, (FIND("" "", $P71, 1) - 1)), 0)), VALUE(IF(REGEXMATCH($R71, "" "")"&amp;", LEFT($R71, (FIND("" "", $R71, 1) - 1)), 0)), VALUE(IF(REGEXMATCH($T71, "" ""), LEFT($T71, (FIND("" "", $T71, 1) - 1)), 0)), VALUE(IF(REGEXMATCH($V71, "" ""), LEFT($V71, (FIND("" "", $V71, 1) - 1)), 0)))"),0.0)</f>
        <v>0</v>
      </c>
      <c r="X71" s="16">
        <f t="shared" si="1"/>
        <v>0</v>
      </c>
    </row>
    <row r="72">
      <c r="A72" s="23"/>
      <c r="B72" s="23"/>
      <c r="C72" s="23"/>
      <c r="D72" s="36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>
      <c r="A73" s="23"/>
      <c r="B73" s="23"/>
      <c r="C73" s="37" t="s">
        <v>174</v>
      </c>
      <c r="D73" s="20">
        <f>COUNTA(E3:E71)</f>
        <v>55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>
      <c r="A74" s="23"/>
      <c r="B74" s="23"/>
      <c r="C74" s="23"/>
      <c r="D74" s="38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>
      <c r="A75" s="23"/>
      <c r="B75" s="23"/>
      <c r="C75" s="39" t="s">
        <v>285</v>
      </c>
      <c r="D75" s="20">
        <f>COUNTA(D5:D71)</f>
        <v>40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>
      <c r="A76" s="23"/>
      <c r="B76" s="23"/>
      <c r="C76" s="23"/>
      <c r="D76" s="38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  <row r="1001">
      <c r="D1001" s="40"/>
    </row>
    <row r="1002">
      <c r="D1002" s="40"/>
    </row>
    <row r="1003">
      <c r="D1003" s="40"/>
    </row>
    <row r="1004">
      <c r="D1004" s="40"/>
    </row>
    <row r="1005">
      <c r="D1005" s="40"/>
    </row>
    <row r="1006">
      <c r="D1006" s="40"/>
    </row>
    <row r="1007">
      <c r="D1007" s="40"/>
    </row>
    <row r="1008">
      <c r="D1008" s="40"/>
    </row>
    <row r="1009">
      <c r="D1009" s="40"/>
    </row>
    <row r="1010">
      <c r="D1010" s="40"/>
    </row>
    <row r="1011">
      <c r="D1011" s="40"/>
    </row>
    <row r="1012">
      <c r="D1012" s="40"/>
    </row>
    <row r="1013">
      <c r="D1013" s="40"/>
    </row>
    <row r="1014">
      <c r="D1014" s="40"/>
    </row>
    <row r="1015">
      <c r="D1015" s="40"/>
    </row>
    <row r="1016">
      <c r="D1016" s="40"/>
    </row>
    <row r="1017">
      <c r="D1017" s="40"/>
    </row>
    <row r="1018">
      <c r="D1018" s="40"/>
    </row>
    <row r="1019">
      <c r="D1019" s="40"/>
    </row>
    <row r="1020">
      <c r="D1020" s="40"/>
    </row>
    <row r="1021">
      <c r="D1021" s="40"/>
    </row>
    <row r="1022">
      <c r="D1022" s="40"/>
    </row>
    <row r="1023">
      <c r="D1023" s="40"/>
    </row>
    <row r="1024">
      <c r="D1024" s="40"/>
    </row>
    <row r="1025">
      <c r="D1025" s="40"/>
    </row>
    <row r="1026">
      <c r="D1026" s="40"/>
    </row>
    <row r="1027">
      <c r="D1027" s="40"/>
    </row>
    <row r="1028">
      <c r="D1028" s="40"/>
    </row>
    <row r="1029">
      <c r="D1029" s="40"/>
    </row>
    <row r="1030">
      <c r="D1030" s="40"/>
    </row>
    <row r="1031">
      <c r="D1031" s="40"/>
    </row>
    <row r="1032">
      <c r="D1032" s="40"/>
    </row>
    <row r="1033">
      <c r="D1033" s="40"/>
    </row>
    <row r="1034">
      <c r="D1034" s="40"/>
    </row>
    <row r="1035">
      <c r="D1035" s="40"/>
    </row>
    <row r="1036">
      <c r="D1036" s="40"/>
    </row>
    <row r="1037">
      <c r="D1037" s="40"/>
    </row>
    <row r="1038">
      <c r="D1038" s="40"/>
    </row>
    <row r="1039">
      <c r="D1039" s="40"/>
    </row>
    <row r="1040">
      <c r="D1040" s="40"/>
    </row>
    <row r="1041">
      <c r="D1041" s="40"/>
    </row>
    <row r="1042">
      <c r="D1042" s="40"/>
    </row>
    <row r="1043">
      <c r="D1043" s="40"/>
    </row>
    <row r="1044">
      <c r="D1044" s="40"/>
    </row>
    <row r="1045">
      <c r="D1045" s="40"/>
    </row>
    <row r="1046">
      <c r="D1046" s="40"/>
    </row>
    <row r="1047">
      <c r="D1047" s="40"/>
    </row>
    <row r="1048">
      <c r="D1048" s="40"/>
    </row>
    <row r="1049">
      <c r="D1049" s="40"/>
    </row>
    <row r="1050">
      <c r="D1050" s="40"/>
    </row>
    <row r="1051">
      <c r="D1051" s="40"/>
    </row>
    <row r="1052">
      <c r="D1052" s="40"/>
    </row>
    <row r="1053">
      <c r="D1053" s="40"/>
    </row>
    <row r="1054">
      <c r="D1054" s="40"/>
    </row>
    <row r="1055">
      <c r="D1055" s="40"/>
    </row>
    <row r="1056">
      <c r="D1056" s="40"/>
    </row>
    <row r="1057">
      <c r="D1057" s="40"/>
    </row>
    <row r="1058">
      <c r="D1058" s="40"/>
    </row>
    <row r="1059">
      <c r="D1059" s="40"/>
    </row>
    <row r="1060">
      <c r="D1060" s="40"/>
    </row>
    <row r="1061">
      <c r="D1061" s="40"/>
    </row>
    <row r="1062">
      <c r="D1062" s="40"/>
    </row>
    <row r="1063">
      <c r="D1063" s="40"/>
    </row>
    <row r="1064">
      <c r="D1064" s="40"/>
    </row>
    <row r="1065">
      <c r="D1065" s="40"/>
    </row>
    <row r="1066">
      <c r="D1066" s="40"/>
    </row>
    <row r="1067">
      <c r="D1067" s="40"/>
    </row>
    <row r="1068">
      <c r="D1068" s="40"/>
    </row>
    <row r="1069">
      <c r="D1069" s="40"/>
    </row>
    <row r="1070">
      <c r="D1070" s="40"/>
    </row>
    <row r="1071">
      <c r="D1071" s="40"/>
    </row>
    <row r="1072">
      <c r="D1072" s="40"/>
    </row>
    <row r="1073">
      <c r="D1073" s="40"/>
    </row>
    <row r="1074">
      <c r="D1074" s="40"/>
    </row>
    <row r="1075">
      <c r="D1075" s="40"/>
    </row>
    <row r="1076">
      <c r="D1076" s="40"/>
    </row>
    <row r="1077">
      <c r="D1077" s="40"/>
    </row>
    <row r="1078">
      <c r="D1078" s="40"/>
    </row>
    <row r="1079">
      <c r="D1079" s="40"/>
    </row>
    <row r="1080">
      <c r="D1080" s="40"/>
    </row>
    <row r="1081">
      <c r="D1081" s="40"/>
    </row>
    <row r="1082">
      <c r="D1082" s="40"/>
    </row>
    <row r="1083">
      <c r="D1083" s="40"/>
    </row>
    <row r="1084">
      <c r="D1084" s="40"/>
    </row>
    <row r="1085">
      <c r="D1085" s="40"/>
    </row>
    <row r="1086">
      <c r="D1086" s="40"/>
    </row>
    <row r="1087">
      <c r="D1087" s="40"/>
    </row>
    <row r="1088">
      <c r="D1088" s="40"/>
    </row>
    <row r="1089">
      <c r="D1089" s="40"/>
    </row>
    <row r="1090">
      <c r="D1090" s="40"/>
    </row>
    <row r="1091">
      <c r="D1091" s="40"/>
    </row>
    <row r="1092">
      <c r="D1092" s="40"/>
    </row>
    <row r="1093">
      <c r="D1093" s="40"/>
    </row>
    <row r="1094">
      <c r="D1094" s="40"/>
    </row>
    <row r="1095">
      <c r="D1095" s="40"/>
    </row>
    <row r="1096">
      <c r="D1096" s="40"/>
    </row>
    <row r="1097">
      <c r="D1097" s="40"/>
    </row>
    <row r="1098">
      <c r="D1098" s="40"/>
    </row>
    <row r="1099">
      <c r="D1099" s="40"/>
    </row>
    <row r="1100">
      <c r="D1100" s="40"/>
    </row>
    <row r="1101">
      <c r="D1101" s="40"/>
    </row>
    <row r="1102">
      <c r="D1102" s="40"/>
    </row>
    <row r="1103">
      <c r="D1103" s="40"/>
    </row>
    <row r="1104">
      <c r="D1104" s="40"/>
    </row>
    <row r="1105">
      <c r="D1105" s="40"/>
    </row>
    <row r="1106">
      <c r="D1106" s="40"/>
    </row>
    <row r="1107">
      <c r="D1107" s="40"/>
    </row>
    <row r="1108">
      <c r="D1108" s="40"/>
    </row>
    <row r="1109">
      <c r="D1109" s="40"/>
    </row>
    <row r="1110">
      <c r="D1110" s="40"/>
    </row>
    <row r="1111">
      <c r="D1111" s="40"/>
    </row>
    <row r="1112">
      <c r="D1112" s="40"/>
    </row>
    <row r="1113">
      <c r="D1113" s="40"/>
    </row>
    <row r="1114">
      <c r="D1114" s="40"/>
    </row>
    <row r="1115">
      <c r="D1115" s="40"/>
    </row>
    <row r="1116">
      <c r="D1116" s="40"/>
    </row>
    <row r="1117">
      <c r="D1117" s="40"/>
    </row>
    <row r="1118">
      <c r="D1118" s="40"/>
    </row>
    <row r="1119">
      <c r="D1119" s="40"/>
    </row>
    <row r="1120">
      <c r="D1120" s="40"/>
    </row>
    <row r="1121">
      <c r="D1121" s="40"/>
    </row>
    <row r="1122">
      <c r="D1122" s="40"/>
    </row>
    <row r="1123">
      <c r="D1123" s="40"/>
    </row>
    <row r="1124">
      <c r="D1124" s="40"/>
    </row>
    <row r="1125">
      <c r="D1125" s="40"/>
    </row>
    <row r="1126">
      <c r="D1126" s="40"/>
    </row>
    <row r="1127">
      <c r="D1127" s="40"/>
    </row>
    <row r="1128">
      <c r="D1128" s="40"/>
    </row>
    <row r="1129">
      <c r="D1129" s="40"/>
    </row>
    <row r="1130">
      <c r="D1130" s="40"/>
    </row>
    <row r="1131">
      <c r="D1131" s="40"/>
    </row>
    <row r="1132">
      <c r="D1132" s="40"/>
    </row>
    <row r="1133">
      <c r="D1133" s="40"/>
    </row>
    <row r="1134">
      <c r="D1134" s="40"/>
    </row>
    <row r="1135">
      <c r="D1135" s="40"/>
    </row>
    <row r="1136">
      <c r="D1136" s="40"/>
    </row>
    <row r="1137">
      <c r="D1137" s="40"/>
    </row>
    <row r="1138">
      <c r="D1138" s="40"/>
    </row>
    <row r="1139">
      <c r="D1139" s="40"/>
    </row>
    <row r="1140">
      <c r="D1140" s="40"/>
    </row>
    <row r="1141">
      <c r="D1141" s="40"/>
    </row>
    <row r="1142">
      <c r="D1142" s="40"/>
    </row>
    <row r="1143">
      <c r="D1143" s="40"/>
    </row>
    <row r="1144">
      <c r="D1144" s="40"/>
    </row>
    <row r="1145">
      <c r="D1145" s="40"/>
    </row>
    <row r="1146">
      <c r="D1146" s="40"/>
    </row>
    <row r="1147">
      <c r="D1147" s="40"/>
    </row>
    <row r="1148">
      <c r="D1148" s="40"/>
    </row>
    <row r="1149">
      <c r="D1149" s="40"/>
    </row>
    <row r="1150">
      <c r="D1150" s="40"/>
    </row>
    <row r="1151">
      <c r="D1151" s="40"/>
    </row>
    <row r="1152">
      <c r="D1152" s="40"/>
    </row>
    <row r="1153">
      <c r="D1153" s="40"/>
    </row>
    <row r="1154">
      <c r="D1154" s="40"/>
    </row>
    <row r="1155">
      <c r="D1155" s="40"/>
    </row>
    <row r="1156">
      <c r="D1156" s="40"/>
    </row>
    <row r="1157">
      <c r="D1157" s="40"/>
    </row>
    <row r="1158">
      <c r="D1158" s="40"/>
    </row>
    <row r="1159">
      <c r="D1159" s="40"/>
    </row>
    <row r="1160">
      <c r="D1160" s="40"/>
    </row>
    <row r="1161">
      <c r="D1161" s="40"/>
    </row>
    <row r="1162">
      <c r="D1162" s="40"/>
    </row>
    <row r="1163">
      <c r="D1163" s="40"/>
    </row>
    <row r="1164">
      <c r="D1164" s="40"/>
    </row>
    <row r="1165">
      <c r="D1165" s="40"/>
    </row>
    <row r="1166">
      <c r="D1166" s="40"/>
    </row>
    <row r="1167">
      <c r="D1167" s="40"/>
    </row>
    <row r="1168">
      <c r="D1168" s="40"/>
    </row>
    <row r="1169">
      <c r="D1169" s="40"/>
    </row>
    <row r="1170">
      <c r="D1170" s="40"/>
    </row>
    <row r="1171">
      <c r="D1171" s="40"/>
    </row>
    <row r="1172">
      <c r="D1172" s="40"/>
    </row>
    <row r="1173">
      <c r="D1173" s="40"/>
    </row>
    <row r="1174">
      <c r="D1174" s="40"/>
    </row>
    <row r="1175">
      <c r="D1175" s="40"/>
    </row>
    <row r="1176">
      <c r="D1176" s="40"/>
    </row>
    <row r="1177">
      <c r="D1177" s="40"/>
    </row>
    <row r="1178">
      <c r="D1178" s="40"/>
    </row>
    <row r="1179">
      <c r="D1179" s="40"/>
    </row>
    <row r="1180">
      <c r="D1180" s="40"/>
    </row>
    <row r="1181">
      <c r="D1181" s="40"/>
    </row>
    <row r="1182">
      <c r="D1182" s="40"/>
    </row>
    <row r="1183">
      <c r="D1183" s="40"/>
    </row>
    <row r="1184">
      <c r="D1184" s="40"/>
    </row>
    <row r="1185">
      <c r="D1185" s="40"/>
    </row>
    <row r="1186">
      <c r="D1186" s="40"/>
    </row>
    <row r="1187">
      <c r="D1187" s="40"/>
    </row>
    <row r="1188">
      <c r="D1188" s="40"/>
    </row>
    <row r="1189">
      <c r="D1189" s="40"/>
    </row>
    <row r="1190">
      <c r="D1190" s="40"/>
    </row>
    <row r="1191">
      <c r="D1191" s="40"/>
    </row>
    <row r="1192">
      <c r="D1192" s="40"/>
    </row>
    <row r="1193">
      <c r="D1193" s="40"/>
    </row>
    <row r="1194">
      <c r="D1194" s="40"/>
    </row>
    <row r="1195">
      <c r="D1195" s="40"/>
    </row>
    <row r="1196">
      <c r="D1196" s="40"/>
    </row>
    <row r="1197">
      <c r="D1197" s="40"/>
    </row>
    <row r="1198">
      <c r="D1198" s="40"/>
    </row>
    <row r="1199">
      <c r="D1199" s="40"/>
    </row>
    <row r="1200">
      <c r="D1200" s="40"/>
    </row>
    <row r="1201">
      <c r="D1201" s="40"/>
    </row>
    <row r="1202">
      <c r="D1202" s="40"/>
    </row>
    <row r="1203">
      <c r="D1203" s="40"/>
    </row>
    <row r="1204">
      <c r="D1204" s="40"/>
    </row>
    <row r="1205">
      <c r="D1205" s="40"/>
    </row>
    <row r="1206">
      <c r="D1206" s="40"/>
    </row>
    <row r="1207">
      <c r="D1207" s="40"/>
    </row>
    <row r="1208">
      <c r="D1208" s="40"/>
    </row>
    <row r="1209">
      <c r="D1209" s="40"/>
    </row>
    <row r="1210">
      <c r="D1210" s="40"/>
    </row>
    <row r="1211">
      <c r="D1211" s="40"/>
    </row>
    <row r="1212">
      <c r="D1212" s="40"/>
    </row>
    <row r="1213">
      <c r="D1213" s="40"/>
    </row>
    <row r="1214">
      <c r="D1214" s="40"/>
    </row>
    <row r="1215">
      <c r="D1215" s="40"/>
    </row>
    <row r="1216">
      <c r="D1216" s="40"/>
    </row>
    <row r="1217">
      <c r="D1217" s="40"/>
    </row>
    <row r="1218">
      <c r="D1218" s="40"/>
    </row>
    <row r="1219">
      <c r="D1219" s="40"/>
    </row>
    <row r="1220">
      <c r="D1220" s="40"/>
    </row>
    <row r="1221">
      <c r="D1221" s="40"/>
    </row>
    <row r="1222">
      <c r="D1222" s="40"/>
    </row>
    <row r="1223">
      <c r="D1223" s="40"/>
    </row>
    <row r="1224">
      <c r="D1224" s="40"/>
    </row>
    <row r="1225">
      <c r="D1225" s="40"/>
    </row>
    <row r="1226">
      <c r="D1226" s="40"/>
    </row>
    <row r="1227">
      <c r="D1227" s="40"/>
    </row>
    <row r="1228">
      <c r="D1228" s="40"/>
    </row>
    <row r="1229">
      <c r="D1229" s="40"/>
    </row>
    <row r="1230">
      <c r="D1230" s="40"/>
    </row>
    <row r="1231">
      <c r="D1231" s="40"/>
    </row>
    <row r="1232">
      <c r="D1232" s="40"/>
    </row>
    <row r="1233">
      <c r="D1233" s="40"/>
    </row>
    <row r="1234">
      <c r="D1234" s="40"/>
    </row>
    <row r="1235">
      <c r="D1235" s="40"/>
    </row>
    <row r="1236">
      <c r="D1236" s="40"/>
    </row>
    <row r="1237">
      <c r="D1237" s="40"/>
    </row>
    <row r="1238">
      <c r="D1238" s="40"/>
    </row>
    <row r="1239">
      <c r="D1239" s="40"/>
    </row>
    <row r="1240">
      <c r="D1240" s="40"/>
    </row>
    <row r="1241">
      <c r="D1241" s="40"/>
    </row>
    <row r="1242">
      <c r="D1242" s="40"/>
    </row>
    <row r="1243">
      <c r="D1243" s="40"/>
    </row>
    <row r="1244">
      <c r="D1244" s="40"/>
    </row>
    <row r="1245">
      <c r="D1245" s="40"/>
    </row>
    <row r="1246">
      <c r="D1246" s="40"/>
    </row>
    <row r="1247">
      <c r="D1247" s="40"/>
    </row>
    <row r="1248">
      <c r="D1248" s="40"/>
    </row>
    <row r="1249">
      <c r="D1249" s="40"/>
    </row>
    <row r="1250">
      <c r="D1250" s="40"/>
    </row>
    <row r="1251">
      <c r="D1251" s="40"/>
    </row>
    <row r="1252">
      <c r="D1252" s="40"/>
    </row>
    <row r="1253">
      <c r="D1253" s="40"/>
    </row>
    <row r="1254">
      <c r="D1254" s="40"/>
    </row>
    <row r="1255">
      <c r="D1255" s="40"/>
    </row>
    <row r="1256">
      <c r="D1256" s="40"/>
    </row>
    <row r="1257">
      <c r="D1257" s="40"/>
    </row>
    <row r="1258">
      <c r="D1258" s="40"/>
    </row>
    <row r="1259">
      <c r="D1259" s="40"/>
    </row>
    <row r="1260">
      <c r="D1260" s="40"/>
    </row>
    <row r="1261">
      <c r="D1261" s="40"/>
    </row>
    <row r="1262">
      <c r="D1262" s="40"/>
    </row>
    <row r="1263">
      <c r="D1263" s="40"/>
    </row>
    <row r="1264">
      <c r="D1264" s="40"/>
    </row>
    <row r="1265">
      <c r="D1265" s="40"/>
    </row>
    <row r="1266">
      <c r="D1266" s="40"/>
    </row>
    <row r="1267">
      <c r="D1267" s="40"/>
    </row>
    <row r="1268">
      <c r="D1268" s="40"/>
    </row>
    <row r="1269">
      <c r="D1269" s="40"/>
    </row>
    <row r="1270">
      <c r="D1270" s="40"/>
    </row>
    <row r="1271">
      <c r="D1271" s="40"/>
    </row>
    <row r="1272">
      <c r="D1272" s="40"/>
    </row>
    <row r="1273">
      <c r="D1273" s="40"/>
    </row>
    <row r="1274">
      <c r="D1274" s="40"/>
    </row>
    <row r="1275">
      <c r="D1275" s="40"/>
    </row>
    <row r="1276">
      <c r="D1276" s="40"/>
    </row>
    <row r="1277">
      <c r="D1277" s="40"/>
    </row>
    <row r="1278">
      <c r="D1278" s="40"/>
    </row>
    <row r="1279">
      <c r="D1279" s="40"/>
    </row>
    <row r="1280">
      <c r="D1280" s="40"/>
    </row>
    <row r="1281">
      <c r="D1281" s="40"/>
    </row>
    <row r="1282">
      <c r="D1282" s="40"/>
    </row>
    <row r="1283">
      <c r="D1283" s="40"/>
    </row>
    <row r="1284">
      <c r="D1284" s="40"/>
    </row>
    <row r="1285">
      <c r="D1285" s="40"/>
    </row>
    <row r="1286">
      <c r="D1286" s="40"/>
    </row>
    <row r="1287">
      <c r="D1287" s="40"/>
    </row>
    <row r="1288">
      <c r="D1288" s="40"/>
    </row>
    <row r="1289">
      <c r="D1289" s="40"/>
    </row>
    <row r="1290">
      <c r="D1290" s="40"/>
    </row>
    <row r="1291">
      <c r="D1291" s="40"/>
    </row>
    <row r="1292">
      <c r="D1292" s="40"/>
    </row>
    <row r="1293">
      <c r="D1293" s="40"/>
    </row>
    <row r="1294">
      <c r="D1294" s="40"/>
    </row>
    <row r="1295">
      <c r="D1295" s="40"/>
    </row>
    <row r="1296">
      <c r="D1296" s="40"/>
    </row>
    <row r="1297">
      <c r="D1297" s="40"/>
    </row>
    <row r="1298">
      <c r="D1298" s="40"/>
    </row>
    <row r="1299">
      <c r="D1299" s="40"/>
    </row>
    <row r="1300">
      <c r="D1300" s="40"/>
    </row>
    <row r="1301">
      <c r="D1301" s="40"/>
    </row>
    <row r="1302">
      <c r="D1302" s="40"/>
    </row>
    <row r="1303">
      <c r="D1303" s="40"/>
    </row>
    <row r="1304">
      <c r="D1304" s="40"/>
    </row>
    <row r="1305">
      <c r="D1305" s="40"/>
    </row>
    <row r="1306">
      <c r="D1306" s="40"/>
    </row>
    <row r="1307">
      <c r="D1307" s="40"/>
    </row>
    <row r="1308">
      <c r="D1308" s="40"/>
    </row>
    <row r="1309">
      <c r="D1309" s="40"/>
    </row>
    <row r="1310">
      <c r="D1310" s="40"/>
    </row>
    <row r="1311">
      <c r="D1311" s="40"/>
    </row>
    <row r="1312">
      <c r="D1312" s="40"/>
    </row>
    <row r="1313">
      <c r="D1313" s="40"/>
    </row>
    <row r="1314">
      <c r="D1314" s="40"/>
    </row>
    <row r="1315">
      <c r="D1315" s="40"/>
    </row>
    <row r="1316">
      <c r="D1316" s="40"/>
    </row>
    <row r="1317">
      <c r="D1317" s="40"/>
    </row>
    <row r="1318">
      <c r="D1318" s="40"/>
    </row>
    <row r="1319">
      <c r="D1319" s="40"/>
    </row>
    <row r="1320">
      <c r="D1320" s="40"/>
    </row>
    <row r="1321">
      <c r="D1321" s="40"/>
    </row>
    <row r="1322">
      <c r="D1322" s="40"/>
    </row>
    <row r="1323">
      <c r="D1323" s="40"/>
    </row>
    <row r="1324">
      <c r="D1324" s="40"/>
    </row>
    <row r="1325">
      <c r="D1325" s="40"/>
    </row>
    <row r="1326">
      <c r="D1326" s="40"/>
    </row>
    <row r="1327">
      <c r="D1327" s="40"/>
    </row>
    <row r="1328">
      <c r="D1328" s="40"/>
    </row>
    <row r="1329">
      <c r="D1329" s="40"/>
    </row>
    <row r="1330">
      <c r="D1330" s="40"/>
    </row>
    <row r="1331">
      <c r="D1331" s="40"/>
    </row>
    <row r="1332">
      <c r="D1332" s="40"/>
    </row>
    <row r="1333">
      <c r="D1333" s="40"/>
    </row>
    <row r="1334">
      <c r="D1334" s="40"/>
    </row>
    <row r="1335">
      <c r="D1335" s="40"/>
    </row>
    <row r="1336">
      <c r="D1336" s="40"/>
    </row>
    <row r="1337">
      <c r="D1337" s="40"/>
    </row>
    <row r="1338">
      <c r="D1338" s="40"/>
    </row>
    <row r="1339">
      <c r="D1339" s="40"/>
    </row>
    <row r="1340">
      <c r="D1340" s="40"/>
    </row>
    <row r="1341">
      <c r="D1341" s="40"/>
    </row>
    <row r="1342">
      <c r="D1342" s="40"/>
    </row>
    <row r="1343">
      <c r="D1343" s="40"/>
    </row>
    <row r="1344">
      <c r="D1344" s="40"/>
    </row>
    <row r="1345">
      <c r="D1345" s="40"/>
    </row>
    <row r="1346">
      <c r="D1346" s="40"/>
    </row>
    <row r="1347">
      <c r="D1347" s="40"/>
    </row>
    <row r="1348">
      <c r="D1348" s="40"/>
    </row>
    <row r="1349">
      <c r="D1349" s="40"/>
    </row>
    <row r="1350">
      <c r="D1350" s="40"/>
    </row>
    <row r="1351">
      <c r="D1351" s="40"/>
    </row>
    <row r="1352">
      <c r="D1352" s="40"/>
    </row>
    <row r="1353">
      <c r="D1353" s="40"/>
    </row>
    <row r="1354">
      <c r="D1354" s="40"/>
    </row>
    <row r="1355">
      <c r="D1355" s="40"/>
    </row>
    <row r="1356">
      <c r="D1356" s="40"/>
    </row>
    <row r="1357">
      <c r="D1357" s="40"/>
    </row>
    <row r="1358">
      <c r="D1358" s="40"/>
    </row>
    <row r="1359">
      <c r="D1359" s="40"/>
    </row>
    <row r="1360">
      <c r="D1360" s="40"/>
    </row>
    <row r="1361">
      <c r="D1361" s="40"/>
    </row>
    <row r="1362">
      <c r="D1362" s="40"/>
    </row>
    <row r="1363">
      <c r="D1363" s="40"/>
    </row>
    <row r="1364">
      <c r="D1364" s="40"/>
    </row>
    <row r="1365">
      <c r="D1365" s="40"/>
    </row>
    <row r="1366">
      <c r="D1366" s="40"/>
    </row>
    <row r="1367">
      <c r="D1367" s="40"/>
    </row>
    <row r="1368">
      <c r="D1368" s="40"/>
    </row>
    <row r="1369">
      <c r="D1369" s="40"/>
    </row>
    <row r="1370">
      <c r="D1370" s="40"/>
    </row>
    <row r="1371">
      <c r="D1371" s="40"/>
    </row>
    <row r="1372">
      <c r="D1372" s="40"/>
    </row>
    <row r="1373">
      <c r="D1373" s="40"/>
    </row>
    <row r="1374">
      <c r="D1374" s="40"/>
    </row>
    <row r="1375">
      <c r="D1375" s="40"/>
    </row>
    <row r="1376">
      <c r="D1376" s="40"/>
    </row>
    <row r="1377">
      <c r="D1377" s="40"/>
    </row>
    <row r="1378">
      <c r="D1378" s="40"/>
    </row>
    <row r="1379">
      <c r="D1379" s="40"/>
    </row>
    <row r="1380">
      <c r="D1380" s="40"/>
    </row>
    <row r="1381">
      <c r="D1381" s="40"/>
    </row>
    <row r="1382">
      <c r="D1382" s="40"/>
    </row>
    <row r="1383">
      <c r="D1383" s="40"/>
    </row>
    <row r="1384">
      <c r="D1384" s="40"/>
    </row>
    <row r="1385">
      <c r="D1385" s="40"/>
    </row>
    <row r="1386">
      <c r="D1386" s="40"/>
    </row>
    <row r="1387">
      <c r="D1387" s="40"/>
    </row>
    <row r="1388">
      <c r="D1388" s="40"/>
    </row>
    <row r="1389">
      <c r="D1389" s="40"/>
    </row>
    <row r="1390">
      <c r="D1390" s="40"/>
    </row>
    <row r="1391">
      <c r="D1391" s="40"/>
    </row>
    <row r="1392">
      <c r="D1392" s="40"/>
    </row>
    <row r="1393">
      <c r="D1393" s="40"/>
    </row>
    <row r="1394">
      <c r="D1394" s="40"/>
    </row>
    <row r="1395">
      <c r="D1395" s="40"/>
    </row>
    <row r="1396">
      <c r="D1396" s="40"/>
    </row>
    <row r="1397">
      <c r="D1397" s="40"/>
    </row>
    <row r="1398">
      <c r="D1398" s="40"/>
    </row>
    <row r="1399">
      <c r="D1399" s="40"/>
    </row>
    <row r="1400">
      <c r="D1400" s="40"/>
    </row>
    <row r="1401">
      <c r="D1401" s="40"/>
    </row>
    <row r="1402">
      <c r="D1402" s="40"/>
    </row>
    <row r="1403">
      <c r="D1403" s="40"/>
    </row>
    <row r="1404">
      <c r="D1404" s="40"/>
    </row>
    <row r="1405">
      <c r="D1405" s="40"/>
    </row>
    <row r="1406">
      <c r="D1406" s="40"/>
    </row>
    <row r="1407">
      <c r="D1407" s="40"/>
    </row>
    <row r="1408">
      <c r="D1408" s="40"/>
    </row>
    <row r="1409">
      <c r="D1409" s="40"/>
    </row>
    <row r="1410">
      <c r="D1410" s="40"/>
    </row>
    <row r="1411">
      <c r="D1411" s="40"/>
    </row>
    <row r="1412">
      <c r="D1412" s="40"/>
    </row>
    <row r="1413">
      <c r="D1413" s="40"/>
    </row>
    <row r="1414">
      <c r="D1414" s="40"/>
    </row>
    <row r="1415">
      <c r="D1415" s="40"/>
    </row>
    <row r="1416">
      <c r="D1416" s="40"/>
    </row>
    <row r="1417">
      <c r="D1417" s="40"/>
    </row>
    <row r="1418">
      <c r="D1418" s="40"/>
    </row>
    <row r="1419">
      <c r="D1419" s="40"/>
    </row>
    <row r="1420">
      <c r="D1420" s="40"/>
    </row>
    <row r="1421">
      <c r="D1421" s="40"/>
    </row>
    <row r="1422">
      <c r="D1422" s="40"/>
    </row>
    <row r="1423">
      <c r="D1423" s="40"/>
    </row>
    <row r="1424">
      <c r="D1424" s="40"/>
    </row>
    <row r="1425">
      <c r="D1425" s="40"/>
    </row>
    <row r="1426">
      <c r="D1426" s="40"/>
    </row>
    <row r="1427">
      <c r="D1427" s="40"/>
    </row>
    <row r="1428">
      <c r="D1428" s="40"/>
    </row>
    <row r="1429">
      <c r="D1429" s="40"/>
    </row>
    <row r="1430">
      <c r="D1430" s="40"/>
    </row>
    <row r="1431">
      <c r="D1431" s="40"/>
    </row>
    <row r="1432">
      <c r="D1432" s="40"/>
    </row>
    <row r="1433">
      <c r="D1433" s="40"/>
    </row>
    <row r="1434">
      <c r="D1434" s="40"/>
    </row>
    <row r="1435">
      <c r="D1435" s="40"/>
    </row>
    <row r="1436">
      <c r="D1436" s="40"/>
    </row>
    <row r="1437">
      <c r="D1437" s="40"/>
    </row>
    <row r="1438">
      <c r="D1438" s="40"/>
    </row>
    <row r="1439">
      <c r="D1439" s="40"/>
    </row>
    <row r="1440">
      <c r="D1440" s="40"/>
    </row>
    <row r="1441">
      <c r="D1441" s="40"/>
    </row>
    <row r="1442">
      <c r="D1442" s="40"/>
    </row>
    <row r="1443">
      <c r="D1443" s="40"/>
    </row>
    <row r="1444">
      <c r="D1444" s="40"/>
    </row>
    <row r="1445">
      <c r="D1445" s="40"/>
    </row>
    <row r="1446">
      <c r="D1446" s="40"/>
    </row>
    <row r="1447">
      <c r="D1447" s="40"/>
    </row>
    <row r="1448">
      <c r="D1448" s="40"/>
    </row>
    <row r="1449">
      <c r="D1449" s="40"/>
    </row>
    <row r="1450">
      <c r="D1450" s="40"/>
    </row>
    <row r="1451">
      <c r="D1451" s="40"/>
    </row>
    <row r="1452">
      <c r="D1452" s="40"/>
    </row>
    <row r="1453">
      <c r="D1453" s="40"/>
    </row>
    <row r="1454">
      <c r="D1454" s="40"/>
    </row>
    <row r="1455">
      <c r="D1455" s="40"/>
    </row>
    <row r="1456">
      <c r="D1456" s="40"/>
    </row>
    <row r="1457">
      <c r="D1457" s="40"/>
    </row>
    <row r="1458">
      <c r="D1458" s="40"/>
    </row>
    <row r="1459">
      <c r="D1459" s="40"/>
    </row>
    <row r="1460">
      <c r="D1460" s="40"/>
    </row>
    <row r="1461">
      <c r="D1461" s="40"/>
    </row>
    <row r="1462">
      <c r="D1462" s="40"/>
    </row>
    <row r="1463">
      <c r="D1463" s="40"/>
    </row>
    <row r="1464">
      <c r="D1464" s="40"/>
    </row>
    <row r="1465">
      <c r="D1465" s="40"/>
    </row>
    <row r="1466">
      <c r="D1466" s="40"/>
    </row>
    <row r="1467">
      <c r="D1467" s="40"/>
    </row>
    <row r="1468">
      <c r="D1468" s="40"/>
    </row>
    <row r="1469">
      <c r="D1469" s="40"/>
    </row>
    <row r="1470">
      <c r="D1470" s="40"/>
    </row>
    <row r="1471">
      <c r="D1471" s="40"/>
    </row>
    <row r="1472">
      <c r="D1472" s="40"/>
    </row>
    <row r="1473">
      <c r="D1473" s="40"/>
    </row>
    <row r="1474">
      <c r="D1474" s="40"/>
    </row>
    <row r="1475">
      <c r="D1475" s="40"/>
    </row>
    <row r="1476">
      <c r="D1476" s="40"/>
    </row>
    <row r="1477">
      <c r="D1477" s="40"/>
    </row>
    <row r="1478">
      <c r="D1478" s="40"/>
    </row>
    <row r="1479">
      <c r="D1479" s="40"/>
    </row>
    <row r="1480">
      <c r="D1480" s="40"/>
    </row>
    <row r="1481">
      <c r="D1481" s="40"/>
    </row>
    <row r="1482">
      <c r="D1482" s="40"/>
    </row>
    <row r="1483">
      <c r="D1483" s="40"/>
    </row>
    <row r="1484">
      <c r="D1484" s="40"/>
    </row>
    <row r="1485">
      <c r="D1485" s="40"/>
    </row>
    <row r="1486">
      <c r="D1486" s="40"/>
    </row>
    <row r="1487">
      <c r="D1487" s="40"/>
    </row>
    <row r="1488">
      <c r="D1488" s="40"/>
    </row>
    <row r="1489">
      <c r="D1489" s="40"/>
    </row>
    <row r="1490">
      <c r="D1490" s="40"/>
    </row>
    <row r="1491">
      <c r="D1491" s="40"/>
    </row>
    <row r="1492">
      <c r="D1492" s="40"/>
    </row>
    <row r="1493">
      <c r="D1493" s="40"/>
    </row>
    <row r="1494">
      <c r="D1494" s="40"/>
    </row>
    <row r="1495">
      <c r="D1495" s="40"/>
    </row>
    <row r="1496">
      <c r="D1496" s="40"/>
    </row>
    <row r="1497">
      <c r="D1497" s="40"/>
    </row>
    <row r="1498">
      <c r="D1498" s="40"/>
    </row>
    <row r="1499">
      <c r="D1499" s="40"/>
    </row>
    <row r="1500">
      <c r="D1500" s="40"/>
    </row>
    <row r="1501">
      <c r="D1501" s="40"/>
    </row>
    <row r="1502">
      <c r="D1502" s="40"/>
    </row>
    <row r="1503">
      <c r="D1503" s="40"/>
    </row>
    <row r="1504">
      <c r="D1504" s="40"/>
    </row>
    <row r="1505">
      <c r="D1505" s="40"/>
    </row>
    <row r="1506">
      <c r="D1506" s="40"/>
    </row>
    <row r="1507">
      <c r="D1507" s="40"/>
    </row>
    <row r="1508">
      <c r="D1508" s="40"/>
    </row>
    <row r="1509">
      <c r="D1509" s="40"/>
    </row>
    <row r="1510">
      <c r="D1510" s="40"/>
    </row>
    <row r="1511">
      <c r="D1511" s="40"/>
    </row>
    <row r="1512">
      <c r="D1512" s="40"/>
    </row>
    <row r="1513">
      <c r="D1513" s="40"/>
    </row>
    <row r="1514">
      <c r="D1514" s="40"/>
    </row>
    <row r="1515">
      <c r="D1515" s="40"/>
    </row>
    <row r="1516">
      <c r="D1516" s="40"/>
    </row>
    <row r="1517">
      <c r="D1517" s="40"/>
    </row>
    <row r="1518">
      <c r="D1518" s="40"/>
    </row>
    <row r="1519">
      <c r="D1519" s="40"/>
    </row>
    <row r="1520">
      <c r="D1520" s="40"/>
    </row>
    <row r="1521">
      <c r="D1521" s="40"/>
    </row>
    <row r="1522">
      <c r="D1522" s="40"/>
    </row>
    <row r="1523">
      <c r="D1523" s="40"/>
    </row>
    <row r="1524">
      <c r="D1524" s="40"/>
    </row>
    <row r="1525">
      <c r="D1525" s="40"/>
    </row>
    <row r="1526">
      <c r="D1526" s="40"/>
    </row>
    <row r="1527">
      <c r="D1527" s="40"/>
    </row>
    <row r="1528">
      <c r="D1528" s="40"/>
    </row>
    <row r="1529">
      <c r="D1529" s="40"/>
    </row>
    <row r="1530">
      <c r="D1530" s="40"/>
    </row>
    <row r="1531">
      <c r="D1531" s="40"/>
    </row>
    <row r="1532">
      <c r="D1532" s="40"/>
    </row>
    <row r="1533">
      <c r="D1533" s="40"/>
    </row>
    <row r="1534">
      <c r="D1534" s="40"/>
    </row>
    <row r="1535">
      <c r="D1535" s="40"/>
    </row>
    <row r="1536">
      <c r="D1536" s="40"/>
    </row>
    <row r="1537">
      <c r="D1537" s="40"/>
    </row>
    <row r="1538">
      <c r="D1538" s="40"/>
    </row>
    <row r="1539">
      <c r="D1539" s="40"/>
    </row>
    <row r="1540">
      <c r="D1540" s="40"/>
    </row>
    <row r="1541">
      <c r="D1541" s="40"/>
    </row>
    <row r="1542">
      <c r="D1542" s="40"/>
    </row>
    <row r="1543">
      <c r="D1543" s="40"/>
    </row>
    <row r="1544">
      <c r="D1544" s="40"/>
    </row>
    <row r="1545">
      <c r="D1545" s="40"/>
    </row>
    <row r="1546">
      <c r="D1546" s="40"/>
    </row>
    <row r="1547">
      <c r="D1547" s="40"/>
    </row>
    <row r="1548">
      <c r="D1548" s="40"/>
    </row>
    <row r="1549">
      <c r="D1549" s="40"/>
    </row>
    <row r="1550">
      <c r="D1550" s="40"/>
    </row>
    <row r="1551">
      <c r="D1551" s="40"/>
    </row>
    <row r="1552">
      <c r="D1552" s="40"/>
    </row>
    <row r="1553">
      <c r="D1553" s="40"/>
    </row>
    <row r="1554">
      <c r="D1554" s="40"/>
    </row>
    <row r="1555">
      <c r="D1555" s="40"/>
    </row>
    <row r="1556">
      <c r="D1556" s="40"/>
    </row>
    <row r="1557">
      <c r="D1557" s="40"/>
    </row>
    <row r="1558">
      <c r="D1558" s="40"/>
    </row>
    <row r="1559">
      <c r="D1559" s="40"/>
    </row>
    <row r="1560">
      <c r="D1560" s="40"/>
    </row>
    <row r="1561">
      <c r="D1561" s="40"/>
    </row>
    <row r="1562">
      <c r="D1562" s="40"/>
    </row>
    <row r="1563">
      <c r="D1563" s="40"/>
    </row>
    <row r="1564">
      <c r="D1564" s="40"/>
    </row>
    <row r="1565">
      <c r="D1565" s="40"/>
    </row>
    <row r="1566">
      <c r="D1566" s="40"/>
    </row>
  </sheetData>
  <conditionalFormatting sqref="A2:E30 F2:F10 G2:G30 H2:H71 I2:U30 F12:F30 A32:F71 G32:G53 I32:I71 J32:J37 K32:U71 J39:J71 G55:G71">
    <cfRule type="expression" dxfId="0" priority="1">
      <formula>ISTEXT(INDEX(FILTER(INDIRECT("Total!$G$2:$G"), REGEXMATCH(lower($D2), lower(INDIRECT("Total!$G$2:$G")))), 1, 1))</formula>
    </cfRule>
  </conditionalFormatting>
  <conditionalFormatting sqref="A2:E30 F2:F10 G2:G30 H2:H71 I2:U30 F12:F30 A32:F71 G32:G53 I32:I71 J32:J37 K32:U71 J39:J71 G55:G71">
    <cfRule type="expression" dxfId="0" priority="2">
      <formula>ISTEXT(INDEX(FILTER(INDIRECT("Total!$G$2:$G"), REGEXMATCH(lower($F2), lower(INDIRECT("Total!$G$2:$G")))), 1, 1))</formula>
    </cfRule>
  </conditionalFormatting>
  <conditionalFormatting sqref="A2:E30 F2:F10 G2:G30 H2:H71 I2:U30 F12:F30 A32:F71 G32:G53 I32:I71 J32:J37 K32:U71 J39:J71 G55:G71">
    <cfRule type="expression" dxfId="0" priority="3">
      <formula>ISTEXT(INDEX(FILTER(INDIRECT("Total!$G$2:$G"), REGEXMATCH(lower($H2), lower(INDIRECT("Total!$G$2:$G")))), 1, 1))</formula>
    </cfRule>
  </conditionalFormatting>
  <conditionalFormatting sqref="A2:E30 F2:F10 G2:G30 H2:H71 I2:U30 F12:F30 A32:F71 G32:G53 I32:I71 J32:J37 K32:U71 J39:J71 G55:G71">
    <cfRule type="expression" dxfId="0" priority="4">
      <formula>ISTEXT(INDEX(FILTER(INDIRECT("Total!$G$2:$G"), REGEXMATCH(lower($J2), lower(INDIRECT("Total!$G$2:$G")))), 1, 1))</formula>
    </cfRule>
  </conditionalFormatting>
  <conditionalFormatting sqref="A2:E30 F2:F10 G2:G30 H2:H71 I2:U30 F12:F30 A32:F71 G32:G53 I32:I71 J32:J37 K32:U71 J39:J71 G55:G71">
    <cfRule type="expression" dxfId="0" priority="5">
      <formula>ISTEXT(INDEX(FILTER(INDIRECT("Total!$G$2:$G"), REGEXMATCH(lower($L2), lower(INDIRECT("Total!$G$2:$G")))), 1, 1))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2.0"/>
    <col customWidth="1" min="3" max="3" width="34.25"/>
    <col customWidth="1" min="4" max="4" width="11.88"/>
    <col customWidth="1" min="5" max="5" width="24.75"/>
    <col customWidth="1" min="6" max="6" width="8.63"/>
    <col customWidth="1" min="7" max="7" width="20.88"/>
    <col customWidth="1" min="8" max="8" width="8.63"/>
    <col customWidth="1" min="9" max="9" width="23.88"/>
    <col customWidth="1" min="10" max="10" width="20.13"/>
    <col customWidth="1" min="11" max="11" width="23.38"/>
    <col customWidth="1" min="12" max="12" width="10.0"/>
    <col customWidth="1" min="13" max="13" width="20.38"/>
    <col customWidth="1" min="14" max="14" width="10.0"/>
    <col customWidth="1" min="15" max="15" width="20.63"/>
    <col customWidth="1" min="16" max="16" width="10.25"/>
    <col customWidth="1" min="17" max="17" width="16.0"/>
    <col customWidth="1" min="18" max="18" width="12.5"/>
    <col customWidth="1" min="19" max="19" width="16.63"/>
    <col customWidth="1" min="20" max="20" width="11.75"/>
    <col customWidth="1" min="21" max="21" width="16.38"/>
    <col customWidth="1" min="22" max="22" width="9.63"/>
  </cols>
  <sheetData>
    <row r="1">
      <c r="A1" s="41" t="s">
        <v>286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5</v>
      </c>
      <c r="I1" s="28" t="s">
        <v>7</v>
      </c>
      <c r="J1" s="28" t="s">
        <v>5</v>
      </c>
      <c r="K1" s="28" t="s">
        <v>8</v>
      </c>
      <c r="L1" s="28" t="s">
        <v>5</v>
      </c>
      <c r="M1" s="28" t="s">
        <v>9</v>
      </c>
      <c r="N1" s="28" t="s">
        <v>5</v>
      </c>
      <c r="O1" s="28" t="s">
        <v>10</v>
      </c>
      <c r="P1" s="28" t="s">
        <v>5</v>
      </c>
      <c r="Q1" s="28" t="s">
        <v>11</v>
      </c>
      <c r="R1" s="28" t="s">
        <v>5</v>
      </c>
      <c r="S1" s="28" t="s">
        <v>12</v>
      </c>
      <c r="T1" s="28" t="s">
        <v>5</v>
      </c>
      <c r="U1" s="28" t="s">
        <v>13</v>
      </c>
      <c r="V1" s="28" t="s">
        <v>5</v>
      </c>
      <c r="W1" s="28" t="s">
        <v>18</v>
      </c>
      <c r="X1" s="42" t="s">
        <v>19</v>
      </c>
    </row>
    <row r="2">
      <c r="A2" s="13">
        <v>1.0</v>
      </c>
      <c r="B2" s="43">
        <v>1.60118733121E11</v>
      </c>
      <c r="C2" s="31" t="s">
        <v>287</v>
      </c>
      <c r="D2" s="15" t="s">
        <v>21</v>
      </c>
      <c r="E2" s="14" t="s">
        <v>44</v>
      </c>
      <c r="F2" s="16" t="s">
        <v>42</v>
      </c>
      <c r="G2" s="18"/>
      <c r="H2" s="44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>
        <f>IFERROR(__xludf.DUMMYFUNCTION("MAX(VALUE(IF(REGEXMATCH($F2, "" ""), LEFT($F2, (FIND("" "", $F2, 1) - 1)), 0)), VALUE(IF(REGEXMATCH($H2, "" ""), LEFT($H2, (FIND("" "", $H2, 1) - 1)), 0)), VALUE(IF(REGEXMATCH($J2, "" ""), LEFT($J2, (FIND("" "", $J2, 1) - 1)), 0)), VALUE(IF(REGEXMATCH($L2"&amp;", "" ""), LEFT($L2, (FIND("" "", $L2, 1) - 1)), 0)), VALUE(IF(REGEXMATCH($N2, "" ""), LEFT($N2, (FIND("" "", $N2, 1) - 1)), 0)), VALUE(IF(REGEXMATCH($P2, "" ""), LEFT($P2, (FIND("" "", $P2, 1) - 1)), 0)), VALUE(IF(REGEXMATCH($R2, "" ""), LEFT($R2, (FIND("&amp;""" "", $R2, 1) - 1)), 0)), VALUE(IF(REGEXMATCH($T2, "" ""), LEFT($T2, (FIND("" "", $T2, 1) - 1)), 0)), VALUE(IF(REGEXMATCH($V2, "" ""), LEFT($V2, (FIND("" "", $V2, 1) - 1)), 0)))"),14.0)</f>
        <v>14</v>
      </c>
      <c r="X2" s="17">
        <f t="shared" ref="X2:X70" si="1">$W2*1.25</f>
        <v>17.5</v>
      </c>
    </row>
    <row r="3">
      <c r="A3" s="43">
        <v>2.0</v>
      </c>
      <c r="B3" s="43">
        <v>1.60118733122E11</v>
      </c>
      <c r="C3" s="31" t="s">
        <v>288</v>
      </c>
      <c r="D3" s="15" t="s">
        <v>21</v>
      </c>
      <c r="E3" s="14" t="s">
        <v>41</v>
      </c>
      <c r="F3" s="14" t="s">
        <v>42</v>
      </c>
      <c r="G3" s="14" t="s">
        <v>45</v>
      </c>
      <c r="H3" s="16" t="s">
        <v>46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33"/>
      <c r="T3" s="33"/>
      <c r="U3" s="33"/>
      <c r="V3" s="33"/>
      <c r="W3" s="45">
        <f>IFERROR(__xludf.DUMMYFUNCTION("MAX(VALUE(IF(REGEXMATCH($F3, "" ""), LEFT($F3, (FIND("" "", $F3, 1) - 1)), 0)), VALUE(IF(REGEXMATCH($H3, "" ""), LEFT($H3, (FIND("" "", $H3, 1) - 1)), 0)), VALUE(IF(REGEXMATCH($J3, "" ""), LEFT($J3, (FIND("" "", $J3, 1) - 1)), 0)), VALUE(IF(REGEXMATCH($L3"&amp;", "" ""), LEFT($L3, (FIND("" "", $L3, 1) - 1)), 0)), VALUE(IF(REGEXMATCH($N3, "" ""), LEFT($N3, (FIND("" "", $N3, 1) - 1)), 0)), VALUE(IF(REGEXMATCH($P3, "" ""), LEFT($P3, (FIND("" "", $P3, 1) - 1)), 0)), VALUE(IF(REGEXMATCH($R3, "" ""), LEFT($R3, (FIND("&amp;""" "", $R3, 1) - 1)), 0)), VALUE(IF(REGEXMATCH($T3, "" ""), LEFT($T3, (FIND("" "", $T3, 1) - 1)), 0)), VALUE(IF(REGEXMATCH($V3, "" ""), LEFT($V3, (FIND("" "", $V3, 1) - 1)), 0)))"),14.0)</f>
        <v>14</v>
      </c>
      <c r="X3" s="45">
        <f t="shared" si="1"/>
        <v>17.5</v>
      </c>
      <c r="Y3" s="21"/>
      <c r="Z3" s="21"/>
      <c r="AA3" s="21"/>
      <c r="AB3" s="21"/>
    </row>
    <row r="4">
      <c r="A4" s="13">
        <v>3.0</v>
      </c>
      <c r="B4" s="43">
        <v>1.60118733123E11</v>
      </c>
      <c r="C4" s="31" t="s">
        <v>289</v>
      </c>
      <c r="D4" s="15" t="s">
        <v>21</v>
      </c>
      <c r="E4" s="14" t="s">
        <v>41</v>
      </c>
      <c r="F4" s="16" t="s">
        <v>42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>
        <f>IFERROR(__xludf.DUMMYFUNCTION("MAX(VALUE(IF(REGEXMATCH($F4, "" ""), LEFT($F4, (FIND("" "", $F4, 1) - 1)), 0)), VALUE(IF(REGEXMATCH($H4, "" ""), LEFT($H4, (FIND("" "", $H4, 1) - 1)), 0)), VALUE(IF(REGEXMATCH($J4, "" ""), LEFT($J4, (FIND("" "", $J4, 1) - 1)), 0)), VALUE(IF(REGEXMATCH($L4"&amp;", "" ""), LEFT($L4, (FIND("" "", $L4, 1) - 1)), 0)), VALUE(IF(REGEXMATCH($N4, "" ""), LEFT($N4, (FIND("" "", $N4, 1) - 1)), 0)), VALUE(IF(REGEXMATCH($P4, "" ""), LEFT($P4, (FIND("" "", $P4, 1) - 1)), 0)), VALUE(IF(REGEXMATCH($R4, "" ""), LEFT($R4, (FIND("&amp;""" "", $R4, 1) - 1)), 0)), VALUE(IF(REGEXMATCH($T4, "" ""), LEFT($T4, (FIND("" "", $T4, 1) - 1)), 0)), VALUE(IF(REGEXMATCH($V4, "" ""), LEFT($V4, (FIND("" "", $V4, 1) - 1)), 0)))"),14.0)</f>
        <v>14</v>
      </c>
      <c r="X4" s="17">
        <f t="shared" si="1"/>
        <v>17.5</v>
      </c>
    </row>
    <row r="5">
      <c r="A5" s="13">
        <v>4.0</v>
      </c>
      <c r="B5" s="43">
        <v>1.60118733124E11</v>
      </c>
      <c r="C5" s="31" t="s">
        <v>290</v>
      </c>
      <c r="D5" s="20"/>
      <c r="E5" s="18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7">
        <f>IFERROR(__xludf.DUMMYFUNCTION("MAX(VALUE(IF(REGEXMATCH($F5, "" ""), LEFT($F5, (FIND("" "", $F5, 1) - 1)), 0)), VALUE(IF(REGEXMATCH($H5, "" ""), LEFT($H5, (FIND("" "", $H5, 1) - 1)), 0)), VALUE(IF(REGEXMATCH($J5, "" ""), LEFT($J5, (FIND("" "", $J5, 1) - 1)), 0)), VALUE(IF(REGEXMATCH($L5"&amp;", "" ""), LEFT($L5, (FIND("" "", $L5, 1) - 1)), 0)), VALUE(IF(REGEXMATCH($N5, "" ""), LEFT($N5, (FIND("" "", $N5, 1) - 1)), 0)), VALUE(IF(REGEXMATCH($P5, "" ""), LEFT($P5, (FIND("" "", $P5, 1) - 1)), 0)), VALUE(IF(REGEXMATCH($R5, "" ""), LEFT($R5, (FIND("&amp;""" "", $R5, 1) - 1)), 0)), VALUE(IF(REGEXMATCH($T5, "" ""), LEFT($T5, (FIND("" "", $T5, 1) - 1)), 0)), VALUE(IF(REGEXMATCH($V5, "" ""), LEFT($V5, (FIND("" "", $V5, 1) - 1)), 0)))"),0.0)</f>
        <v>0</v>
      </c>
      <c r="X5" s="17">
        <f t="shared" si="1"/>
        <v>0</v>
      </c>
    </row>
    <row r="6">
      <c r="A6" s="13">
        <v>5.0</v>
      </c>
      <c r="B6" s="43">
        <v>1.60118733125E11</v>
      </c>
      <c r="C6" s="31" t="s">
        <v>291</v>
      </c>
      <c r="D6" s="15" t="s">
        <v>21</v>
      </c>
      <c r="E6" s="14" t="s">
        <v>48</v>
      </c>
      <c r="F6" s="16" t="s">
        <v>25</v>
      </c>
      <c r="G6" s="18" t="s">
        <v>35</v>
      </c>
      <c r="H6" s="18" t="s">
        <v>36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>
        <f>IFERROR(__xludf.DUMMYFUNCTION("MAX(VALUE(IF(REGEXMATCH($F6, "" ""), LEFT($F6, (FIND("" "", $F6, 1) - 1)), 0)), VALUE(IF(REGEXMATCH($H6, "" ""), LEFT($H6, (FIND("" "", $H6, 1) - 1)), 0)), VALUE(IF(REGEXMATCH($J6, "" ""), LEFT($J6, (FIND("" "", $J6, 1) - 1)), 0)), VALUE(IF(REGEXMATCH($L6"&amp;", "" ""), LEFT($L6, (FIND("" "", $L6, 1) - 1)), 0)), VALUE(IF(REGEXMATCH($N6, "" ""), LEFT($N6, (FIND("" "", $N6, 1) - 1)), 0)), VALUE(IF(REGEXMATCH($P6, "" ""), LEFT($P6, (FIND("" "", $P6, 1) - 1)), 0)), VALUE(IF(REGEXMATCH($R6, "" ""), LEFT($R6, (FIND("&amp;""" "", $R6, 1) - 1)), 0)), VALUE(IF(REGEXMATCH($T6, "" ""), LEFT($T6, (FIND("" "", $T6, 1) - 1)), 0)), VALUE(IF(REGEXMATCH($V6, "" ""), LEFT($V6, (FIND("" "", $V6, 1) - 1)), 0)))"),8.5)</f>
        <v>8.5</v>
      </c>
      <c r="X6" s="17">
        <f t="shared" si="1"/>
        <v>10.625</v>
      </c>
    </row>
    <row r="7">
      <c r="A7" s="13">
        <v>6.0</v>
      </c>
      <c r="B7" s="43">
        <v>1.60118733126E11</v>
      </c>
      <c r="C7" s="31" t="s">
        <v>292</v>
      </c>
      <c r="D7" s="15" t="s">
        <v>21</v>
      </c>
      <c r="E7" s="14" t="s">
        <v>44</v>
      </c>
      <c r="F7" s="14" t="s">
        <v>42</v>
      </c>
      <c r="G7" s="14" t="s">
        <v>293</v>
      </c>
      <c r="H7" s="16" t="s">
        <v>294</v>
      </c>
      <c r="I7" s="18" t="s">
        <v>62</v>
      </c>
      <c r="J7" s="18" t="s">
        <v>14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>
        <f>IFERROR(__xludf.DUMMYFUNCTION("MAX(VALUE(IF(REGEXMATCH($F7, "" ""), LEFT($F7, (FIND("" "", $F7, 1) - 1)), 0)), VALUE(IF(REGEXMATCH($H7, "" ""), LEFT($H7, (FIND("" "", $H7, 1) - 1)), 0)), VALUE(IF(REGEXMATCH($J7, "" ""), LEFT($J7, (FIND("" "", $J7, 1) - 1)), 0)), VALUE(IF(REGEXMATCH($L7"&amp;", "" ""), LEFT($L7, (FIND("" "", $L7, 1) - 1)), 0)), VALUE(IF(REGEXMATCH($N7, "" ""), LEFT($N7, (FIND("" "", $N7, 1) - 1)), 0)), VALUE(IF(REGEXMATCH($P7, "" ""), LEFT($P7, (FIND("" "", $P7, 1) - 1)), 0)), VALUE(IF(REGEXMATCH($R7, "" ""), LEFT($R7, (FIND("&amp;""" "", $R7, 1) - 1)), 0)), VALUE(IF(REGEXMATCH($T7, "" ""), LEFT($T7, (FIND("" "", $T7, 1) - 1)), 0)), VALUE(IF(REGEXMATCH($V7, "" ""), LEFT($V7, (FIND("" "", $V7, 1) - 1)), 0)))"),23.0)</f>
        <v>23</v>
      </c>
      <c r="X7" s="17">
        <f t="shared" si="1"/>
        <v>28.75</v>
      </c>
    </row>
    <row r="8">
      <c r="A8" s="13">
        <v>7.0</v>
      </c>
      <c r="B8" s="43">
        <v>1.60118733127E11</v>
      </c>
      <c r="C8" s="31" t="s">
        <v>295</v>
      </c>
      <c r="D8" s="19" t="s">
        <v>21</v>
      </c>
      <c r="E8" s="14" t="s">
        <v>45</v>
      </c>
      <c r="F8" s="16" t="s">
        <v>46</v>
      </c>
      <c r="G8" s="14" t="s">
        <v>222</v>
      </c>
      <c r="H8" s="16" t="s">
        <v>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>
        <f>IFERROR(__xludf.DUMMYFUNCTION("MAX(VALUE(IF(REGEXMATCH($F8, "" ""), LEFT($F8, (FIND("" "", $F8, 1) - 1)), 0)), VALUE(IF(REGEXMATCH($H8, "" ""), LEFT($H8, (FIND("" "", $H8, 1) - 1)), 0)), VALUE(IF(REGEXMATCH($J8, "" ""), LEFT($J8, (FIND("" "", $J8, 1) - 1)), 0)), VALUE(IF(REGEXMATCH($L8"&amp;", "" ""), LEFT($L8, (FIND("" "", $L8, 1) - 1)), 0)), VALUE(IF(REGEXMATCH($N8, "" ""), LEFT($N8, (FIND("" "", $N8, 1) - 1)), 0)), VALUE(IF(REGEXMATCH($P8, "" ""), LEFT($P8, (FIND("" "", $P8, 1) - 1)), 0)), VALUE(IF(REGEXMATCH($R8, "" ""), LEFT($R8, (FIND("&amp;""" "", $R8, 1) - 1)), 0)), VALUE(IF(REGEXMATCH($T8, "" ""), LEFT($T8, (FIND("" "", $T8, 1) - 1)), 0)), VALUE(IF(REGEXMATCH($V8, "" ""), LEFT($V8, (FIND("" "", $V8, 1) - 1)), 0)))"),6.0)</f>
        <v>6</v>
      </c>
      <c r="X8" s="17">
        <f t="shared" si="1"/>
        <v>7.5</v>
      </c>
    </row>
    <row r="9">
      <c r="A9" s="13">
        <v>8.0</v>
      </c>
      <c r="B9" s="43">
        <v>1.60118733128E11</v>
      </c>
      <c r="C9" s="31" t="s">
        <v>296</v>
      </c>
      <c r="D9" s="19" t="s">
        <v>21</v>
      </c>
      <c r="E9" s="14" t="s">
        <v>93</v>
      </c>
      <c r="F9" s="14" t="s">
        <v>94</v>
      </c>
      <c r="G9" s="14" t="s">
        <v>130</v>
      </c>
      <c r="H9" s="14" t="s">
        <v>131</v>
      </c>
      <c r="I9" s="14" t="s">
        <v>193</v>
      </c>
      <c r="J9" s="16" t="s">
        <v>125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>
        <f>IFERROR(__xludf.DUMMYFUNCTION("MAX(VALUE(IF(REGEXMATCH($F9, "" ""), LEFT($F9, (FIND("" "", $F9, 1) - 1)), 0)), VALUE(IF(REGEXMATCH($H9, "" ""), LEFT($H9, (FIND("" "", $H9, 1) - 1)), 0)), VALUE(IF(REGEXMATCH($J9, "" ""), LEFT($J9, (FIND("" "", $J9, 1) - 1)), 0)), VALUE(IF(REGEXMATCH($L9"&amp;", "" ""), LEFT($L9, (FIND("" "", $L9, 1) - 1)), 0)), VALUE(IF(REGEXMATCH($N9, "" ""), LEFT($N9, (FIND("" "", $N9, 1) - 1)), 0)), VALUE(IF(REGEXMATCH($P9, "" ""), LEFT($P9, (FIND("" "", $P9, 1) - 1)), 0)), VALUE(IF(REGEXMATCH($R9, "" ""), LEFT($R9, (FIND("&amp;""" "", $R9, 1) - 1)), 0)), VALUE(IF(REGEXMATCH($T9, "" ""), LEFT($T9, (FIND("" "", $T9, 1) - 1)), 0)), VALUE(IF(REGEXMATCH($V9, "" ""), LEFT($V9, (FIND("" "", $V9, 1) - 1)), 0)))"),9.0)</f>
        <v>9</v>
      </c>
      <c r="X9" s="17">
        <f t="shared" si="1"/>
        <v>11.25</v>
      </c>
    </row>
    <row r="10">
      <c r="A10" s="13">
        <v>9.0</v>
      </c>
      <c r="B10" s="43">
        <v>1.60118733129E11</v>
      </c>
      <c r="C10" s="31" t="s">
        <v>297</v>
      </c>
      <c r="D10" s="19" t="s">
        <v>21</v>
      </c>
      <c r="E10" s="14" t="s">
        <v>44</v>
      </c>
      <c r="F10" s="16" t="s">
        <v>42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>
        <f>IFERROR(__xludf.DUMMYFUNCTION("MAX(VALUE(IF(REGEXMATCH($F10, "" ""), LEFT($F10, (FIND("" "", $F10, 1) - 1)), 0)), VALUE(IF(REGEXMATCH($H10, "" ""), LEFT($H10, (FIND("" "", $H10, 1) - 1)), 0)), VALUE(IF(REGEXMATCH($J10, "" ""), LEFT($J10, (FIND("" "", $J10, 1) - 1)), 0)), VALUE(IF(REGEX"&amp;"MATCH($L10, "" ""), LEFT($L10, (FIND("" "", $L10, 1) - 1)), 0)), VALUE(IF(REGEXMATCH($N10, "" ""), LEFT($N10, (FIND("" "", $N10, 1) - 1)), 0)), VALUE(IF(REGEXMATCH($P10, "" ""), LEFT($P10, (FIND("" "", $P10, 1) - 1)), 0)), VALUE(IF(REGEXMATCH($R10, "" "")"&amp;", LEFT($R10, (FIND("" "", $R10, 1) - 1)), 0)), VALUE(IF(REGEXMATCH($T10, "" ""), LEFT($T10, (FIND("" "", $T10, 1) - 1)), 0)), VALUE(IF(REGEXMATCH($V10, "" ""), LEFT($V10, (FIND("" "", $V10, 1) - 1)), 0)))"),14.0)</f>
        <v>14</v>
      </c>
      <c r="X10" s="17">
        <f t="shared" si="1"/>
        <v>17.5</v>
      </c>
    </row>
    <row r="11">
      <c r="A11" s="13">
        <v>10.0</v>
      </c>
      <c r="B11" s="43">
        <v>1.6011873313E11</v>
      </c>
      <c r="C11" s="31" t="s">
        <v>298</v>
      </c>
      <c r="D11" s="15" t="s">
        <v>21</v>
      </c>
      <c r="E11" s="14" t="s">
        <v>127</v>
      </c>
      <c r="F11" s="14" t="s">
        <v>73</v>
      </c>
      <c r="G11" s="14" t="s">
        <v>90</v>
      </c>
      <c r="H11" s="14" t="s">
        <v>91</v>
      </c>
      <c r="I11" s="14" t="s">
        <v>103</v>
      </c>
      <c r="J11" s="14" t="s">
        <v>39</v>
      </c>
      <c r="K11" s="14" t="s">
        <v>45</v>
      </c>
      <c r="L11" s="14" t="s">
        <v>46</v>
      </c>
      <c r="M11" s="14" t="s">
        <v>293</v>
      </c>
      <c r="N11" s="16" t="s">
        <v>294</v>
      </c>
      <c r="O11" s="18" t="s">
        <v>62</v>
      </c>
      <c r="P11" s="18" t="s">
        <v>14</v>
      </c>
      <c r="Q11" s="16"/>
      <c r="R11" s="16"/>
      <c r="S11" s="16"/>
      <c r="T11" s="16"/>
      <c r="U11" s="16"/>
      <c r="V11" s="16"/>
      <c r="W11" s="17">
        <f>IFERROR(__xludf.DUMMYFUNCTION("MAX(VALUE(IF(REGEXMATCH($F11, "" ""), LEFT($F11, (FIND("" "", $F11, 1) - 1)), 0)), VALUE(IF(REGEXMATCH($H11, "" ""), LEFT($H11, (FIND("" "", $H11, 1) - 1)), 0)), VALUE(IF(REGEXMATCH($J11, "" ""), LEFT($J11, (FIND("" "", $J11, 1) - 1)), 0)), VALUE(IF(REGEX"&amp;"MATCH($L11, "" ""), LEFT($L11, (FIND("" "", $L11, 1) - 1)), 0)), VALUE(IF(REGEXMATCH($N11, "" ""), LEFT($N11, (FIND("" "", $N11, 1) - 1)), 0)), VALUE(IF(REGEXMATCH($P11, "" ""), LEFT($P11, (FIND("" "", $P11, 1) - 1)), 0)), VALUE(IF(REGEXMATCH($R11, "" "")"&amp;", LEFT($R11, (FIND("" "", $R11, 1) - 1)), 0)), VALUE(IF(REGEXMATCH($T11, "" ""), LEFT($T11, (FIND("" "", $T11, 1) - 1)), 0)), VALUE(IF(REGEXMATCH($V11, "" ""), LEFT($V11, (FIND("" "", $V11, 1) - 1)), 0)))"),23.0)</f>
        <v>23</v>
      </c>
      <c r="X11" s="17">
        <f t="shared" si="1"/>
        <v>28.75</v>
      </c>
    </row>
    <row r="12">
      <c r="A12" s="13">
        <v>11.0</v>
      </c>
      <c r="B12" s="43">
        <v>1.60118733131E11</v>
      </c>
      <c r="C12" s="31" t="s">
        <v>299</v>
      </c>
      <c r="D12" s="15"/>
      <c r="E12" s="14" t="s">
        <v>90</v>
      </c>
      <c r="F12" s="14" t="s">
        <v>91</v>
      </c>
      <c r="G12" s="14" t="s">
        <v>27</v>
      </c>
      <c r="H12" s="16" t="s">
        <v>28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>
        <f>IFERROR(__xludf.DUMMYFUNCTION("MAX(VALUE(IF(REGEXMATCH($F12, "" ""), LEFT($F12, (FIND("" "", $F12, 1) - 1)), 0)), VALUE(IF(REGEXMATCH($H12, "" ""), LEFT($H12, (FIND("" "", $H12, 1) - 1)), 0)), VALUE(IF(REGEXMATCH($J12, "" ""), LEFT($J12, (FIND("" "", $J12, 1) - 1)), 0)), VALUE(IF(REGEX"&amp;"MATCH($L12, "" ""), LEFT($L12, (FIND("" "", $L12, 1) - 1)), 0)), VALUE(IF(REGEXMATCH($N12, "" ""), LEFT($N12, (FIND("" "", $N12, 1) - 1)), 0)), VALUE(IF(REGEXMATCH($P12, "" ""), LEFT($P12, (FIND("" "", $P12, 1) - 1)), 0)), VALUE(IF(REGEXMATCH($R12, "" "")"&amp;", LEFT($R12, (FIND("" "", $R12, 1) - 1)), 0)), VALUE(IF(REGEXMATCH($T12, "" ""), LEFT($T12, (FIND("" "", $T12, 1) - 1)), 0)), VALUE(IF(REGEXMATCH($V12, "" ""), LEFT($V12, (FIND("" "", $V12, 1) - 1)), 0)))"),12.73)</f>
        <v>12.73</v>
      </c>
      <c r="X12" s="17">
        <f t="shared" si="1"/>
        <v>15.9125</v>
      </c>
    </row>
    <row r="13">
      <c r="A13" s="13">
        <v>12.0</v>
      </c>
      <c r="B13" s="43">
        <v>1.60118733132E11</v>
      </c>
      <c r="C13" s="31" t="s">
        <v>300</v>
      </c>
      <c r="D13" s="19" t="s">
        <v>21</v>
      </c>
      <c r="E13" s="14" t="s">
        <v>33</v>
      </c>
      <c r="F13" s="14" t="s">
        <v>34</v>
      </c>
      <c r="G13" s="14" t="s">
        <v>301</v>
      </c>
      <c r="H13" s="16" t="s">
        <v>142</v>
      </c>
      <c r="I13" s="18" t="s">
        <v>302</v>
      </c>
      <c r="J13" s="18" t="s">
        <v>303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>
        <f>IFERROR(__xludf.DUMMYFUNCTION("MAX(VALUE(IF(REGEXMATCH($F13, "" ""), LEFT($F13, (FIND("" "", $F13, 1) - 1)), 0)), VALUE(IF(REGEXMATCH($H13, "" ""), LEFT($H13, (FIND("" "", $H13, 1) - 1)), 0)), VALUE(IF(REGEXMATCH($J13, "" ""), LEFT($J13, (FIND("" "", $J13, 1) - 1)), 0)), VALUE(IF(REGEX"&amp;"MATCH($L13, "" ""), LEFT($L13, (FIND("" "", $L13, 1) - 1)), 0)), VALUE(IF(REGEXMATCH($N13, "" ""), LEFT($N13, (FIND("" "", $N13, 1) - 1)), 0)), VALUE(IF(REGEXMATCH($P13, "" ""), LEFT($P13, (FIND("" "", $P13, 1) - 1)), 0)), VALUE(IF(REGEXMATCH($R13, "" "")"&amp;", LEFT($R13, (FIND("" "", $R13, 1) - 1)), 0)), VALUE(IF(REGEXMATCH($T13, "" ""), LEFT($T13, (FIND("" "", $T13, 1) - 1)), 0)), VALUE(IF(REGEXMATCH($V13, "" ""), LEFT($V13, (FIND("" "", $V13, 1) - 1)), 0)))"),7.5)</f>
        <v>7.5</v>
      </c>
      <c r="X13" s="17">
        <f t="shared" si="1"/>
        <v>9.375</v>
      </c>
    </row>
    <row r="14">
      <c r="A14" s="13">
        <v>13.0</v>
      </c>
      <c r="B14" s="43">
        <v>1.60118733133E11</v>
      </c>
      <c r="C14" s="31" t="s">
        <v>304</v>
      </c>
      <c r="D14" s="15" t="s">
        <v>21</v>
      </c>
      <c r="E14" s="14" t="s">
        <v>107</v>
      </c>
      <c r="F14" s="14" t="s">
        <v>54</v>
      </c>
      <c r="G14" s="14" t="s">
        <v>305</v>
      </c>
      <c r="H14" s="16" t="s">
        <v>294</v>
      </c>
      <c r="I14" s="18" t="s">
        <v>187</v>
      </c>
      <c r="J14" s="18" t="s">
        <v>188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>
        <f>IFERROR(__xludf.DUMMYFUNCTION("MAX(VALUE(IF(REGEXMATCH($F14, "" ""), LEFT($F14, (FIND("" "", $F14, 1) - 1)), 0)), VALUE(IF(REGEXMATCH($H14, "" ""), LEFT($H14, (FIND("" "", $H14, 1) - 1)), 0)), VALUE(IF(REGEXMATCH($J14, "" ""), LEFT($J14, (FIND("" "", $J14, 1) - 1)), 0)), VALUE(IF(REGEX"&amp;"MATCH($L14, "" ""), LEFT($L14, (FIND("" "", $L14, 1) - 1)), 0)), VALUE(IF(REGEXMATCH($N14, "" ""), LEFT($N14, (FIND("" "", $N14, 1) - 1)), 0)), VALUE(IF(REGEXMATCH($P14, "" ""), LEFT($P14, (FIND("" "", $P14, 1) - 1)), 0)), VALUE(IF(REGEXMATCH($R14, "" "")"&amp;", LEFT($R14, (FIND("" "", $R14, 1) - 1)), 0)), VALUE(IF(REGEXMATCH($T14, "" ""), LEFT($T14, (FIND("" "", $T14, 1) - 1)), 0)), VALUE(IF(REGEXMATCH($V14, "" ""), LEFT($V14, (FIND("" "", $V14, 1) - 1)), 0)))"),12.0)</f>
        <v>12</v>
      </c>
      <c r="X14" s="17">
        <f t="shared" si="1"/>
        <v>15</v>
      </c>
    </row>
    <row r="15">
      <c r="A15" s="13">
        <v>14.0</v>
      </c>
      <c r="B15" s="43">
        <v>1.60118733134E11</v>
      </c>
      <c r="C15" s="31" t="s">
        <v>306</v>
      </c>
      <c r="D15" s="15" t="s">
        <v>21</v>
      </c>
      <c r="E15" s="14" t="s">
        <v>127</v>
      </c>
      <c r="F15" s="16" t="s">
        <v>73</v>
      </c>
      <c r="G15" s="18" t="s">
        <v>50</v>
      </c>
      <c r="H15" s="18" t="s">
        <v>51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>
        <f>IFERROR(__xludf.DUMMYFUNCTION("MAX(VALUE(IF(REGEXMATCH($F15, "" ""), LEFT($F15, (FIND("" "", $F15, 1) - 1)), 0)), VALUE(IF(REGEXMATCH($H15, "" ""), LEFT($H15, (FIND("" "", $H15, 1) - 1)), 0)), VALUE(IF(REGEXMATCH($J15, "" ""), LEFT($J15, (FIND("" "", $J15, 1) - 1)), 0)), VALUE(IF(REGEX"&amp;"MATCH($L15, "" ""), LEFT($L15, (FIND("" "", $L15, 1) - 1)), 0)), VALUE(IF(REGEXMATCH($N15, "" ""), LEFT($N15, (FIND("" "", $N15, 1) - 1)), 0)), VALUE(IF(REGEXMATCH($P15, "" ""), LEFT($P15, (FIND("" "", $P15, 1) - 1)), 0)), VALUE(IF(REGEXMATCH($R15, "" "")"&amp;", LEFT($R15, (FIND("" "", $R15, 1) - 1)), 0)), VALUE(IF(REGEXMATCH($T15, "" ""), LEFT($T15, (FIND("" "", $T15, 1) - 1)), 0)), VALUE(IF(REGEXMATCH($V15, "" ""), LEFT($V15, (FIND("" "", $V15, 1) - 1)), 0)))"),10.4)</f>
        <v>10.4</v>
      </c>
      <c r="X15" s="17">
        <f t="shared" si="1"/>
        <v>13</v>
      </c>
    </row>
    <row r="16">
      <c r="A16" s="13">
        <v>15.0</v>
      </c>
      <c r="B16" s="43">
        <v>1.60118733135E11</v>
      </c>
      <c r="C16" s="31" t="s">
        <v>307</v>
      </c>
      <c r="D16" s="15"/>
      <c r="E16" s="14" t="s">
        <v>27</v>
      </c>
      <c r="F16" s="14" t="s">
        <v>28</v>
      </c>
      <c r="G16" s="14" t="s">
        <v>38</v>
      </c>
      <c r="H16" s="16" t="s">
        <v>39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>
        <f>IFERROR(__xludf.DUMMYFUNCTION("MAX(VALUE(IF(REGEXMATCH($F16, "" ""), LEFT($F16, (FIND("" "", $F16, 1) - 1)), 0)), VALUE(IF(REGEXMATCH($H16, "" ""), LEFT($H16, (FIND("" "", $H16, 1) - 1)), 0)), VALUE(IF(REGEXMATCH($J16, "" ""), LEFT($J16, (FIND("" "", $J16, 1) - 1)), 0)), VALUE(IF(REGEX"&amp;"MATCH($L16, "" ""), LEFT($L16, (FIND("" "", $L16, 1) - 1)), 0)), VALUE(IF(REGEXMATCH($N16, "" ""), LEFT($N16, (FIND("" "", $N16, 1) - 1)), 0)), VALUE(IF(REGEXMATCH($P16, "" ""), LEFT($P16, (FIND("" "", $P16, 1) - 1)), 0)), VALUE(IF(REGEXMATCH($R16, "" "")"&amp;", LEFT($R16, (FIND("" "", $R16, 1) - 1)), 0)), VALUE(IF(REGEXMATCH($T16, "" ""), LEFT($T16, (FIND("" "", $T16, 1) - 1)), 0)), VALUE(IF(REGEXMATCH($V16, "" ""), LEFT($V16, (FIND("" "", $V16, 1) - 1)), 0)))"),5.0)</f>
        <v>5</v>
      </c>
      <c r="X16" s="17">
        <f t="shared" si="1"/>
        <v>6.25</v>
      </c>
    </row>
    <row r="17">
      <c r="A17" s="13">
        <v>16.0</v>
      </c>
      <c r="B17" s="43">
        <v>1.60118733136E11</v>
      </c>
      <c r="C17" s="31" t="s">
        <v>308</v>
      </c>
      <c r="D17" s="15" t="s">
        <v>21</v>
      </c>
      <c r="E17" s="14" t="s">
        <v>48</v>
      </c>
      <c r="F17" s="16" t="s">
        <v>25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>
        <f>IFERROR(__xludf.DUMMYFUNCTION("MAX(VALUE(IF(REGEXMATCH($F17, "" ""), LEFT($F17, (FIND("" "", $F17, 1) - 1)), 0)), VALUE(IF(REGEXMATCH($H17, "" ""), LEFT($H17, (FIND("" "", $H17, 1) - 1)), 0)), VALUE(IF(REGEXMATCH($J17, "" ""), LEFT($J17, (FIND("" "", $J17, 1) - 1)), 0)), VALUE(IF(REGEX"&amp;"MATCH($L17, "" ""), LEFT($L17, (FIND("" "", $L17, 1) - 1)), 0)), VALUE(IF(REGEXMATCH($N17, "" ""), LEFT($N17, (FIND("" "", $N17, 1) - 1)), 0)), VALUE(IF(REGEXMATCH($P17, "" ""), LEFT($P17, (FIND("" "", $P17, 1) - 1)), 0)), VALUE(IF(REGEXMATCH($R17, "" "")"&amp;", LEFT($R17, (FIND("" "", $R17, 1) - 1)), 0)), VALUE(IF(REGEXMATCH($T17, "" ""), LEFT($T17, (FIND("" "", $T17, 1) - 1)), 0)), VALUE(IF(REGEXMATCH($V17, "" ""), LEFT($V17, (FIND("" "", $V17, 1) - 1)), 0)))"),4.0)</f>
        <v>4</v>
      </c>
      <c r="X17" s="17">
        <f t="shared" si="1"/>
        <v>5</v>
      </c>
    </row>
    <row r="18">
      <c r="A18" s="13">
        <v>17.0</v>
      </c>
      <c r="B18" s="43">
        <v>1.60118733137E11</v>
      </c>
      <c r="C18" s="31" t="s">
        <v>309</v>
      </c>
      <c r="D18" s="20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>
        <f>IFERROR(__xludf.DUMMYFUNCTION("MAX(VALUE(IF(REGEXMATCH($F18, "" ""), LEFT($F18, (FIND("" "", $F18, 1) - 1)), 0)), VALUE(IF(REGEXMATCH($H18, "" ""), LEFT($H18, (FIND("" "", $H18, 1) - 1)), 0)), VALUE(IF(REGEXMATCH($J18, "" ""), LEFT($J18, (FIND("" "", $J18, 1) - 1)), 0)), VALUE(IF(REGEX"&amp;"MATCH($L18, "" ""), LEFT($L18, (FIND("" "", $L18, 1) - 1)), 0)), VALUE(IF(REGEXMATCH($N18, "" ""), LEFT($N18, (FIND("" "", $N18, 1) - 1)), 0)), VALUE(IF(REGEXMATCH($P18, "" ""), LEFT($P18, (FIND("" "", $P18, 1) - 1)), 0)), VALUE(IF(REGEXMATCH($R18, "" "")"&amp;", LEFT($R18, (FIND("" "", $R18, 1) - 1)), 0)), VALUE(IF(REGEXMATCH($T18, "" ""), LEFT($T18, (FIND("" "", $T18, 1) - 1)), 0)), VALUE(IF(REGEXMATCH($V18, "" ""), LEFT($V18, (FIND("" "", $V18, 1) - 1)), 0)))"),0.0)</f>
        <v>0</v>
      </c>
      <c r="X18" s="17">
        <f t="shared" si="1"/>
        <v>0</v>
      </c>
    </row>
    <row r="19">
      <c r="A19" s="13">
        <v>18.0</v>
      </c>
      <c r="B19" s="43">
        <v>1.60118733138E11</v>
      </c>
      <c r="C19" s="31" t="s">
        <v>310</v>
      </c>
      <c r="D19" s="15" t="s">
        <v>21</v>
      </c>
      <c r="E19" s="14" t="s">
        <v>44</v>
      </c>
      <c r="F19" s="16" t="s">
        <v>42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>
        <f>IFERROR(__xludf.DUMMYFUNCTION("MAX(VALUE(IF(REGEXMATCH($F19, "" ""), LEFT($F19, (FIND("" "", $F19, 1) - 1)), 0)), VALUE(IF(REGEXMATCH($H19, "" ""), LEFT($H19, (FIND("" "", $H19, 1) - 1)), 0)), VALUE(IF(REGEXMATCH($J19, "" ""), LEFT($J19, (FIND("" "", $J19, 1) - 1)), 0)), VALUE(IF(REGEX"&amp;"MATCH($L19, "" ""), LEFT($L19, (FIND("" "", $L19, 1) - 1)), 0)), VALUE(IF(REGEXMATCH($N19, "" ""), LEFT($N19, (FIND("" "", $N19, 1) - 1)), 0)), VALUE(IF(REGEXMATCH($P19, "" ""), LEFT($P19, (FIND("" "", $P19, 1) - 1)), 0)), VALUE(IF(REGEXMATCH($R19, "" "")"&amp;", LEFT($R19, (FIND("" "", $R19, 1) - 1)), 0)), VALUE(IF(REGEXMATCH($T19, "" ""), LEFT($T19, (FIND("" "", $T19, 1) - 1)), 0)), VALUE(IF(REGEXMATCH($V19, "" ""), LEFT($V19, (FIND("" "", $V19, 1) - 1)), 0)))"),14.0)</f>
        <v>14</v>
      </c>
      <c r="X19" s="17">
        <f t="shared" si="1"/>
        <v>17.5</v>
      </c>
    </row>
    <row r="20">
      <c r="A20" s="13">
        <v>19.0</v>
      </c>
      <c r="B20" s="43">
        <v>1.60118733139E11</v>
      </c>
      <c r="C20" s="31" t="s">
        <v>311</v>
      </c>
      <c r="D20" s="15" t="s">
        <v>21</v>
      </c>
      <c r="E20" s="14" t="s">
        <v>112</v>
      </c>
      <c r="F20" s="14" t="s">
        <v>54</v>
      </c>
      <c r="G20" s="14" t="s">
        <v>45</v>
      </c>
      <c r="H20" s="16" t="s">
        <v>46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>
        <f>IFERROR(__xludf.DUMMYFUNCTION("MAX(VALUE(IF(REGEXMATCH($F20, "" ""), LEFT($F20, (FIND("" "", $F20, 1) - 1)), 0)), VALUE(IF(REGEXMATCH($H20, "" ""), LEFT($H20, (FIND("" "", $H20, 1) - 1)), 0)), VALUE(IF(REGEXMATCH($J20, "" ""), LEFT($J20, (FIND("" "", $J20, 1) - 1)), 0)), VALUE(IF(REGEX"&amp;"MATCH($L20, "" ""), LEFT($L20, (FIND("" "", $L20, 1) - 1)), 0)), VALUE(IF(REGEXMATCH($N20, "" ""), LEFT($N20, (FIND("" "", $N20, 1) - 1)), 0)), VALUE(IF(REGEXMATCH($P20, "" ""), LEFT($P20, (FIND("" "", $P20, 1) - 1)), 0)), VALUE(IF(REGEXMATCH($R20, "" "")"&amp;", LEFT($R20, (FIND("" "", $R20, 1) - 1)), 0)), VALUE(IF(REGEXMATCH($T20, "" ""), LEFT($T20, (FIND("" "", $T20, 1) - 1)), 0)), VALUE(IF(REGEXMATCH($V20, "" ""), LEFT($V20, (FIND("" "", $V20, 1) - 1)), 0)))"),8.1)</f>
        <v>8.1</v>
      </c>
      <c r="X20" s="17">
        <f t="shared" si="1"/>
        <v>10.125</v>
      </c>
    </row>
    <row r="21">
      <c r="A21" s="13">
        <v>20.0</v>
      </c>
      <c r="B21" s="43">
        <v>1.6011873314E11</v>
      </c>
      <c r="C21" s="31" t="s">
        <v>312</v>
      </c>
      <c r="D21" s="15"/>
      <c r="E21" s="14" t="s">
        <v>29</v>
      </c>
      <c r="F21" s="14" t="s">
        <v>30</v>
      </c>
      <c r="G21" s="14" t="s">
        <v>27</v>
      </c>
      <c r="H21" s="14" t="s">
        <v>28</v>
      </c>
      <c r="I21" s="14" t="s">
        <v>38</v>
      </c>
      <c r="J21" s="14" t="s">
        <v>39</v>
      </c>
      <c r="K21" s="14" t="s">
        <v>33</v>
      </c>
      <c r="L21" s="16" t="s">
        <v>34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>
        <f>IFERROR(__xludf.DUMMYFUNCTION("MAX(VALUE(IF(REGEXMATCH($F21, "" ""), LEFT($F21, (FIND("" "", $F21, 1) - 1)), 0)), VALUE(IF(REGEXMATCH($H21, "" ""), LEFT($H21, (FIND("" "", $H21, 1) - 1)), 0)), VALUE(IF(REGEXMATCH($J21, "" ""), LEFT($J21, (FIND("" "", $J21, 1) - 1)), 0)), VALUE(IF(REGEX"&amp;"MATCH($L21, "" ""), LEFT($L21, (FIND("" "", $L21, 1) - 1)), 0)), VALUE(IF(REGEXMATCH($N21, "" ""), LEFT($N21, (FIND("" "", $N21, 1) - 1)), 0)), VALUE(IF(REGEXMATCH($P21, "" ""), LEFT($P21, (FIND("" "", $P21, 1) - 1)), 0)), VALUE(IF(REGEXMATCH($R21, "" "")"&amp;", LEFT($R21, (FIND("" "", $R21, 1) - 1)), 0)), VALUE(IF(REGEXMATCH($T21, "" ""), LEFT($T21, (FIND("" "", $T21, 1) - 1)), 0)), VALUE(IF(REGEXMATCH($V21, "" ""), LEFT($V21, (FIND("" "", $V21, 1) - 1)), 0)))"),6.0)</f>
        <v>6</v>
      </c>
      <c r="X21" s="17">
        <f t="shared" si="1"/>
        <v>7.5</v>
      </c>
    </row>
    <row r="22">
      <c r="A22" s="13">
        <v>21.0</v>
      </c>
      <c r="B22" s="13">
        <v>1.60118733141E11</v>
      </c>
      <c r="C22" s="14" t="s">
        <v>313</v>
      </c>
      <c r="D22" s="15" t="s">
        <v>21</v>
      </c>
      <c r="E22" s="14" t="s">
        <v>27</v>
      </c>
      <c r="F22" s="14" t="s">
        <v>28</v>
      </c>
      <c r="G22" s="14" t="s">
        <v>197</v>
      </c>
      <c r="H22" s="14" t="s">
        <v>25</v>
      </c>
      <c r="I22" s="14" t="s">
        <v>33</v>
      </c>
      <c r="J22" s="16" t="s">
        <v>34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>
        <f>IFERROR(__xludf.DUMMYFUNCTION("MAX(VALUE(IF(REGEXMATCH($F22, "" ""), LEFT($F22, (FIND("" "", $F22, 1) - 1)), 0)), VALUE(IF(REGEXMATCH($H22, "" ""), LEFT($H22, (FIND("" "", $H22, 1) - 1)), 0)), VALUE(IF(REGEXMATCH($J22, "" ""), LEFT($J22, (FIND("" "", $J22, 1) - 1)), 0)), VALUE(IF(REGEX"&amp;"MATCH($L22, "" ""), LEFT($L22, (FIND("" "", $L22, 1) - 1)), 0)), VALUE(IF(REGEXMATCH($N22, "" ""), LEFT($N22, (FIND("" "", $N22, 1) - 1)), 0)), VALUE(IF(REGEXMATCH($P22, "" ""), LEFT($P22, (FIND("" "", $P22, 1) - 1)), 0)), VALUE(IF(REGEXMATCH($R22, "" "")"&amp;", LEFT($R22, (FIND("" "", $R22, 1) - 1)), 0)), VALUE(IF(REGEXMATCH($T22, "" ""), LEFT($T22, (FIND("" "", $T22, 1) - 1)), 0)), VALUE(IF(REGEXMATCH($V22, "" ""), LEFT($V22, (FIND("" "", $V22, 1) - 1)), 0)))"),4.5)</f>
        <v>4.5</v>
      </c>
      <c r="X22" s="17">
        <f t="shared" si="1"/>
        <v>5.625</v>
      </c>
    </row>
    <row r="23">
      <c r="A23" s="13">
        <v>22.0</v>
      </c>
      <c r="B23" s="43">
        <v>1.60118733142E11</v>
      </c>
      <c r="C23" s="31" t="s">
        <v>314</v>
      </c>
      <c r="D23" s="15"/>
      <c r="E23" s="14" t="s">
        <v>27</v>
      </c>
      <c r="F23" s="14" t="s">
        <v>28</v>
      </c>
      <c r="G23" s="14" t="s">
        <v>84</v>
      </c>
      <c r="H23" s="14" t="s">
        <v>32</v>
      </c>
      <c r="I23" s="14" t="s">
        <v>33</v>
      </c>
      <c r="J23" s="16" t="s">
        <v>34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>
        <f>IFERROR(__xludf.DUMMYFUNCTION("MAX(VALUE(IF(REGEXMATCH($F23, "" ""), LEFT($F23, (FIND("" "", $F23, 1) - 1)), 0)), VALUE(IF(REGEXMATCH($H23, "" ""), LEFT($H23, (FIND("" "", $H23, 1) - 1)), 0)), VALUE(IF(REGEXMATCH($J23, "" ""), LEFT($J23, (FIND("" "", $J23, 1) - 1)), 0)), VALUE(IF(REGEX"&amp;"MATCH($L23, "" ""), LEFT($L23, (FIND("" "", $L23, 1) - 1)), 0)), VALUE(IF(REGEXMATCH($N23, "" ""), LEFT($N23, (FIND("" "", $N23, 1) - 1)), 0)), VALUE(IF(REGEXMATCH($P23, "" ""), LEFT($P23, (FIND("" "", $P23, 1) - 1)), 0)), VALUE(IF(REGEXMATCH($R23, "" "")"&amp;", LEFT($R23, (FIND("" "", $R23, 1) - 1)), 0)), VALUE(IF(REGEXMATCH($T23, "" ""), LEFT($T23, (FIND("" "", $T23, 1) - 1)), 0)), VALUE(IF(REGEXMATCH($V23, "" ""), LEFT($V23, (FIND("" "", $V23, 1) - 1)), 0)))"),6.5)</f>
        <v>6.5</v>
      </c>
      <c r="X23" s="17">
        <f t="shared" si="1"/>
        <v>8.125</v>
      </c>
    </row>
    <row r="24">
      <c r="A24" s="13">
        <v>23.0</v>
      </c>
      <c r="B24" s="43">
        <v>1.60118733143E11</v>
      </c>
      <c r="C24" s="31" t="s">
        <v>315</v>
      </c>
      <c r="D24" s="15" t="s">
        <v>21</v>
      </c>
      <c r="E24" s="14" t="s">
        <v>41</v>
      </c>
      <c r="F24" s="16" t="s">
        <v>42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>
        <f>IFERROR(__xludf.DUMMYFUNCTION("MAX(VALUE(IF(REGEXMATCH($F24, "" ""), LEFT($F24, (FIND("" "", $F24, 1) - 1)), 0)), VALUE(IF(REGEXMATCH($H24, "" ""), LEFT($H24, (FIND("" "", $H24, 1) - 1)), 0)), VALUE(IF(REGEXMATCH($J24, "" ""), LEFT($J24, (FIND("" "", $J24, 1) - 1)), 0)), VALUE(IF(REGEX"&amp;"MATCH($L24, "" ""), LEFT($L24, (FIND("" "", $L24, 1) - 1)), 0)), VALUE(IF(REGEXMATCH($N24, "" ""), LEFT($N24, (FIND("" "", $N24, 1) - 1)), 0)), VALUE(IF(REGEXMATCH($P24, "" ""), LEFT($P24, (FIND("" "", $P24, 1) - 1)), 0)), VALUE(IF(REGEXMATCH($R24, "" "")"&amp;", LEFT($R24, (FIND("" "", $R24, 1) - 1)), 0)), VALUE(IF(REGEXMATCH($T24, "" ""), LEFT($T24, (FIND("" "", $T24, 1) - 1)), 0)), VALUE(IF(REGEXMATCH($V24, "" ""), LEFT($V24, (FIND("" "", $V24, 1) - 1)), 0)))"),14.0)</f>
        <v>14</v>
      </c>
      <c r="X24" s="17">
        <f t="shared" si="1"/>
        <v>17.5</v>
      </c>
    </row>
    <row r="25">
      <c r="A25" s="13">
        <v>24.0</v>
      </c>
      <c r="B25" s="43">
        <v>1.60118733144E11</v>
      </c>
      <c r="C25" s="31" t="s">
        <v>316</v>
      </c>
      <c r="D25" s="15" t="s">
        <v>21</v>
      </c>
      <c r="E25" s="14" t="s">
        <v>101</v>
      </c>
      <c r="F25" s="14" t="s">
        <v>32</v>
      </c>
      <c r="G25" s="14" t="s">
        <v>84</v>
      </c>
      <c r="H25" s="14" t="s">
        <v>32</v>
      </c>
      <c r="I25" s="14" t="s">
        <v>24</v>
      </c>
      <c r="J25" s="14" t="s">
        <v>25</v>
      </c>
      <c r="K25" s="14" t="s">
        <v>193</v>
      </c>
      <c r="L25" s="16" t="s">
        <v>125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>
        <f>IFERROR(__xludf.DUMMYFUNCTION("MAX(VALUE(IF(REGEXMATCH($F25, "" ""), LEFT($F25, (FIND("" "", $F25, 1) - 1)), 0)), VALUE(IF(REGEXMATCH($H25, "" ""), LEFT($H25, (FIND("" "", $H25, 1) - 1)), 0)), VALUE(IF(REGEXMATCH($J25, "" ""), LEFT($J25, (FIND("" "", $J25, 1) - 1)), 0)), VALUE(IF(REGEX"&amp;"MATCH($L25, "" ""), LEFT($L25, (FIND("" "", $L25, 1) - 1)), 0)), VALUE(IF(REGEXMATCH($N25, "" ""), LEFT($N25, (FIND("" "", $N25, 1) - 1)), 0)), VALUE(IF(REGEXMATCH($P25, "" ""), LEFT($P25, (FIND("" "", $P25, 1) - 1)), 0)), VALUE(IF(REGEXMATCH($R25, "" "")"&amp;", LEFT($R25, (FIND("" "", $R25, 1) - 1)), 0)), VALUE(IF(REGEXMATCH($T25, "" ""), LEFT($T25, (FIND("" "", $T25, 1) - 1)), 0)), VALUE(IF(REGEXMATCH($V25, "" ""), LEFT($V25, (FIND("" "", $V25, 1) - 1)), 0)))"),9.0)</f>
        <v>9</v>
      </c>
      <c r="X25" s="17">
        <f t="shared" si="1"/>
        <v>11.25</v>
      </c>
    </row>
    <row r="26">
      <c r="A26" s="13">
        <v>25.0</v>
      </c>
      <c r="B26" s="43">
        <v>1.60118733145E11</v>
      </c>
      <c r="C26" s="31" t="s">
        <v>317</v>
      </c>
      <c r="D26" s="15" t="s">
        <v>21</v>
      </c>
      <c r="E26" s="14" t="s">
        <v>44</v>
      </c>
      <c r="F26" s="14" t="s">
        <v>42</v>
      </c>
      <c r="G26" s="14" t="s">
        <v>130</v>
      </c>
      <c r="H26" s="16" t="s">
        <v>131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>
        <f>IFERROR(__xludf.DUMMYFUNCTION("MAX(VALUE(IF(REGEXMATCH($F26, "" ""), LEFT($F26, (FIND("" "", $F26, 1) - 1)), 0)), VALUE(IF(REGEXMATCH($H26, "" ""), LEFT($H26, (FIND("" "", $H26, 1) - 1)), 0)), VALUE(IF(REGEXMATCH($J26, "" ""), LEFT($J26, (FIND("" "", $J26, 1) - 1)), 0)), VALUE(IF(REGEX"&amp;"MATCH($L26, "" ""), LEFT($L26, (FIND("" "", $L26, 1) - 1)), 0)), VALUE(IF(REGEXMATCH($N26, "" ""), LEFT($N26, (FIND("" "", $N26, 1) - 1)), 0)), VALUE(IF(REGEXMATCH($P26, "" ""), LEFT($P26, (FIND("" "", $P26, 1) - 1)), 0)), VALUE(IF(REGEXMATCH($R26, "" "")"&amp;", LEFT($R26, (FIND("" "", $R26, 1) - 1)), 0)), VALUE(IF(REGEXMATCH($T26, "" ""), LEFT($T26, (FIND("" "", $T26, 1) - 1)), 0)), VALUE(IF(REGEXMATCH($V26, "" ""), LEFT($V26, (FIND("" "", $V26, 1) - 1)), 0)))"),14.0)</f>
        <v>14</v>
      </c>
      <c r="X26" s="17">
        <f t="shared" si="1"/>
        <v>17.5</v>
      </c>
    </row>
    <row r="27">
      <c r="A27" s="13">
        <v>26.0</v>
      </c>
      <c r="B27" s="43">
        <v>1.60118733146E11</v>
      </c>
      <c r="C27" s="31" t="s">
        <v>318</v>
      </c>
      <c r="D27" s="15" t="s">
        <v>21</v>
      </c>
      <c r="E27" s="14" t="s">
        <v>44</v>
      </c>
      <c r="F27" s="16" t="s">
        <v>42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>
        <f>IFERROR(__xludf.DUMMYFUNCTION("MAX(VALUE(IF(REGEXMATCH($F27, "" ""), LEFT($F27, (FIND("" "", $F27, 1) - 1)), 0)), VALUE(IF(REGEXMATCH($H27, "" ""), LEFT($H27, (FIND("" "", $H27, 1) - 1)), 0)), VALUE(IF(REGEXMATCH($J27, "" ""), LEFT($J27, (FIND("" "", $J27, 1) - 1)), 0)), VALUE(IF(REGEX"&amp;"MATCH($L27, "" ""), LEFT($L27, (FIND("" "", $L27, 1) - 1)), 0)), VALUE(IF(REGEXMATCH($N27, "" ""), LEFT($N27, (FIND("" "", $N27, 1) - 1)), 0)), VALUE(IF(REGEXMATCH($P27, "" ""), LEFT($P27, (FIND("" "", $P27, 1) - 1)), 0)), VALUE(IF(REGEXMATCH($R27, "" "")"&amp;", LEFT($R27, (FIND("" "", $R27, 1) - 1)), 0)), VALUE(IF(REGEXMATCH($T27, "" ""), LEFT($T27, (FIND("" "", $T27, 1) - 1)), 0)), VALUE(IF(REGEXMATCH($V27, "" ""), LEFT($V27, (FIND("" "", $V27, 1) - 1)), 0)))"),14.0)</f>
        <v>14</v>
      </c>
      <c r="X27" s="17">
        <f t="shared" si="1"/>
        <v>17.5</v>
      </c>
    </row>
    <row r="28">
      <c r="A28" s="13">
        <v>27.0</v>
      </c>
      <c r="B28" s="43">
        <v>1.60118733147E11</v>
      </c>
      <c r="C28" s="31" t="s">
        <v>319</v>
      </c>
      <c r="D28" s="20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>
        <f>IFERROR(__xludf.DUMMYFUNCTION("MAX(VALUE(IF(REGEXMATCH($F28, "" ""), LEFT($F28, (FIND("" "", $F28, 1) - 1)), 0)), VALUE(IF(REGEXMATCH($H28, "" ""), LEFT($H28, (FIND("" "", $H28, 1) - 1)), 0)), VALUE(IF(REGEXMATCH($J28, "" ""), LEFT($J28, (FIND("" "", $J28, 1) - 1)), 0)), VALUE(IF(REGEX"&amp;"MATCH($L28, "" ""), LEFT($L28, (FIND("" "", $L28, 1) - 1)), 0)), VALUE(IF(REGEXMATCH($N28, "" ""), LEFT($N28, (FIND("" "", $N28, 1) - 1)), 0)), VALUE(IF(REGEXMATCH($P28, "" ""), LEFT($P28, (FIND("" "", $P28, 1) - 1)), 0)), VALUE(IF(REGEXMATCH($R28, "" "")"&amp;", LEFT($R28, (FIND("" "", $R28, 1) - 1)), 0)), VALUE(IF(REGEXMATCH($T28, "" ""), LEFT($T28, (FIND("" "", $T28, 1) - 1)), 0)), VALUE(IF(REGEXMATCH($V28, "" ""), LEFT($V28, (FIND("" "", $V28, 1) - 1)), 0)))"),0.0)</f>
        <v>0</v>
      </c>
      <c r="X28" s="17">
        <f t="shared" si="1"/>
        <v>0</v>
      </c>
    </row>
    <row r="29">
      <c r="A29" s="13">
        <v>28.0</v>
      </c>
      <c r="B29" s="43">
        <v>1.60118733148E11</v>
      </c>
      <c r="C29" s="31" t="s">
        <v>320</v>
      </c>
      <c r="D29" s="15" t="s">
        <v>21</v>
      </c>
      <c r="E29" s="14" t="s">
        <v>321</v>
      </c>
      <c r="F29" s="16" t="s">
        <v>94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7">
        <f>IFERROR(__xludf.DUMMYFUNCTION("MAX(VALUE(IF(REGEXMATCH($F29, "" ""), LEFT($F29, (FIND("" "", $F29, 1) - 1)), 0)), VALUE(IF(REGEXMATCH($H29, "" ""), LEFT($H29, (FIND("" "", $H29, 1) - 1)), 0)), VALUE(IF(REGEXMATCH($J29, "" ""), LEFT($J29, (FIND("" "", $J29, 1) - 1)), 0)), VALUE(IF(REGEX"&amp;"MATCH($L29, "" ""), LEFT($L29, (FIND("" "", $L29, 1) - 1)), 0)), VALUE(IF(REGEXMATCH($N29, "" ""), LEFT($N29, (FIND("" "", $N29, 1) - 1)), 0)), VALUE(IF(REGEXMATCH($P29, "" ""), LEFT($P29, (FIND("" "", $P29, 1) - 1)), 0)), VALUE(IF(REGEXMATCH($R29, "" "")"&amp;", LEFT($R29, (FIND("" "", $R29, 1) - 1)), 0)), VALUE(IF(REGEXMATCH($T29, "" ""), LEFT($T29, (FIND("" "", $T29, 1) - 1)), 0)), VALUE(IF(REGEXMATCH($V29, "" ""), LEFT($V29, (FIND("" "", $V29, 1) - 1)), 0)))"),7.0)</f>
        <v>7</v>
      </c>
      <c r="X29" s="17">
        <f t="shared" si="1"/>
        <v>8.75</v>
      </c>
    </row>
    <row r="30">
      <c r="A30" s="13">
        <v>29.0</v>
      </c>
      <c r="B30" s="43">
        <v>1.60118733149E11</v>
      </c>
      <c r="C30" s="31" t="s">
        <v>322</v>
      </c>
      <c r="D30" s="15" t="s">
        <v>21</v>
      </c>
      <c r="E30" s="14" t="s">
        <v>27</v>
      </c>
      <c r="F30" s="14" t="s">
        <v>28</v>
      </c>
      <c r="G30" s="14" t="s">
        <v>38</v>
      </c>
      <c r="H30" s="14" t="s">
        <v>39</v>
      </c>
      <c r="I30" s="14" t="s">
        <v>48</v>
      </c>
      <c r="J30" s="14" t="s">
        <v>25</v>
      </c>
      <c r="K30" s="14" t="s">
        <v>197</v>
      </c>
      <c r="L30" s="14" t="s">
        <v>25</v>
      </c>
      <c r="M30" s="14" t="s">
        <v>49</v>
      </c>
      <c r="N30" s="14" t="s">
        <v>30</v>
      </c>
      <c r="O30" s="14" t="s">
        <v>33</v>
      </c>
      <c r="P30" s="14" t="s">
        <v>34</v>
      </c>
      <c r="Q30" s="14" t="s">
        <v>193</v>
      </c>
      <c r="R30" s="14" t="s">
        <v>125</v>
      </c>
      <c r="S30" s="18" t="s">
        <v>194</v>
      </c>
      <c r="T30" s="18" t="s">
        <v>195</v>
      </c>
      <c r="U30" s="14"/>
      <c r="V30" s="16"/>
      <c r="W30" s="17">
        <f>IFERROR(__xludf.DUMMYFUNCTION("MAX(VALUE(IF(REGEXMATCH($F30, "" ""), LEFT($F30, (FIND("" "", $F30, 1) - 1)), 0)), VALUE(IF(REGEXMATCH($H30, "" ""), LEFT($H30, (FIND("" "", $H30, 1) - 1)), 0)), VALUE(IF(REGEXMATCH($J30, "" ""), LEFT($J30, (FIND("" "", $J30, 1) - 1)), 0)), VALUE(IF(REGEX"&amp;"MATCH($L30, "" ""), LEFT($L30, (FIND("" "", $L30, 1) - 1)), 0)), VALUE(IF(REGEXMATCH($N30, "" ""), LEFT($N30, (FIND("" "", $N30, 1) - 1)), 0)), VALUE(IF(REGEXMATCH($P30, "" ""), LEFT($P30, (FIND("" "", $P30, 1) - 1)), 0)), VALUE(IF(REGEXMATCH($R30, "" "")"&amp;", LEFT($R30, (FIND("" "", $R30, 1) - 1)), 0)), VALUE(IF(REGEXMATCH($T30, "" ""), LEFT($T30, (FIND("" "", $T30, 1) - 1)), 0)), VALUE(IF(REGEXMATCH($V30, "" ""), LEFT($V30, (FIND("" "", $V30, 1) - 1)), 0)))"),16.0)</f>
        <v>16</v>
      </c>
      <c r="X30" s="17">
        <f t="shared" si="1"/>
        <v>20</v>
      </c>
    </row>
    <row r="31">
      <c r="A31" s="13">
        <v>31.0</v>
      </c>
      <c r="B31" s="43">
        <v>1.60118733151E11</v>
      </c>
      <c r="C31" s="31" t="s">
        <v>323</v>
      </c>
      <c r="D31" s="19" t="s">
        <v>21</v>
      </c>
      <c r="E31" s="18" t="s">
        <v>324</v>
      </c>
      <c r="F31" s="18" t="s">
        <v>325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7">
        <f>IFERROR(__xludf.DUMMYFUNCTION("MAX(VALUE(IF(REGEXMATCH($F31, "" ""), LEFT($F31, (FIND("" "", $F31, 1) - 1)), 0)), VALUE(IF(REGEXMATCH($H31, "" ""), LEFT($H31, (FIND("" "", $H31, 1) - 1)), 0)), VALUE(IF(REGEXMATCH($J31, "" ""), LEFT($J31, (FIND("" "", $J31, 1) - 1)), 0)), VALUE(IF(REGEX"&amp;"MATCH($L31, "" ""), LEFT($L31, (FIND("" "", $L31, 1) - 1)), 0)), VALUE(IF(REGEXMATCH($N31, "" ""), LEFT($N31, (FIND("" "", $N31, 1) - 1)), 0)), VALUE(IF(REGEXMATCH($P31, "" ""), LEFT($P31, (FIND("" "", $P31, 1) - 1)), 0)), VALUE(IF(REGEXMATCH($R31, "" "")"&amp;", LEFT($R31, (FIND("" "", $R31, 1) - 1)), 0)), VALUE(IF(REGEXMATCH($T31, "" ""), LEFT($T31, (FIND("" "", $T31, 1) - 1)), 0)), VALUE(IF(REGEXMATCH($V31, "" ""), LEFT($V31, (FIND("" "", $V31, 1) - 1)), 0)))"),0.0)</f>
        <v>0</v>
      </c>
      <c r="X31" s="17">
        <f t="shared" si="1"/>
        <v>0</v>
      </c>
    </row>
    <row r="32">
      <c r="A32" s="13">
        <v>32.0</v>
      </c>
      <c r="B32" s="43">
        <v>1.60118733152E11</v>
      </c>
      <c r="C32" s="31" t="s">
        <v>326</v>
      </c>
      <c r="D32" s="2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>
        <f>IFERROR(__xludf.DUMMYFUNCTION("MAX(VALUE(IF(REGEXMATCH($F32, "" ""), LEFT($F32, (FIND("" "", $F32, 1) - 1)), 0)), VALUE(IF(REGEXMATCH($H32, "" ""), LEFT($H32, (FIND("" "", $H32, 1) - 1)), 0)), VALUE(IF(REGEXMATCH($J32, "" ""), LEFT($J32, (FIND("" "", $J32, 1) - 1)), 0)), VALUE(IF(REGEX"&amp;"MATCH($L32, "" ""), LEFT($L32, (FIND("" "", $L32, 1) - 1)), 0)), VALUE(IF(REGEXMATCH($N32, "" ""), LEFT($N32, (FIND("" "", $N32, 1) - 1)), 0)), VALUE(IF(REGEXMATCH($P32, "" ""), LEFT($P32, (FIND("" "", $P32, 1) - 1)), 0)), VALUE(IF(REGEXMATCH($R32, "" "")"&amp;", LEFT($R32, (FIND("" "", $R32, 1) - 1)), 0)), VALUE(IF(REGEXMATCH($T32, "" ""), LEFT($T32, (FIND("" "", $T32, 1) - 1)), 0)), VALUE(IF(REGEXMATCH($V32, "" ""), LEFT($V32, (FIND("" "", $V32, 1) - 1)), 0)))"),0.0)</f>
        <v>0</v>
      </c>
      <c r="X32" s="17">
        <f t="shared" si="1"/>
        <v>0</v>
      </c>
    </row>
    <row r="33">
      <c r="A33" s="13">
        <v>33.0</v>
      </c>
      <c r="B33" s="43">
        <v>1.60118733153E11</v>
      </c>
      <c r="C33" s="31" t="s">
        <v>327</v>
      </c>
      <c r="D33" s="20" t="s">
        <v>21</v>
      </c>
      <c r="E33" s="16" t="s">
        <v>24</v>
      </c>
      <c r="F33" s="16" t="s">
        <v>25</v>
      </c>
      <c r="G33" s="16" t="s">
        <v>72</v>
      </c>
      <c r="H33" s="16" t="s">
        <v>73</v>
      </c>
      <c r="I33" s="16" t="s">
        <v>130</v>
      </c>
      <c r="J33" s="16" t="s">
        <v>131</v>
      </c>
      <c r="K33" s="16" t="s">
        <v>184</v>
      </c>
      <c r="L33" s="16" t="s">
        <v>131</v>
      </c>
      <c r="M33" s="16" t="s">
        <v>108</v>
      </c>
      <c r="N33" s="16" t="s">
        <v>109</v>
      </c>
      <c r="O33" s="18" t="s">
        <v>50</v>
      </c>
      <c r="P33" s="18" t="s">
        <v>51</v>
      </c>
      <c r="Q33" s="16"/>
      <c r="R33" s="16"/>
      <c r="S33" s="16"/>
      <c r="T33" s="16"/>
      <c r="U33" s="16"/>
      <c r="V33" s="16"/>
      <c r="W33" s="17">
        <f>IFERROR(__xludf.DUMMYFUNCTION("MAX(VALUE(IF(REGEXMATCH($F33, "" ""), LEFT($F33, (FIND("" "", $F33, 1) - 1)), 0)), VALUE(IF(REGEXMATCH($H33, "" ""), LEFT($H33, (FIND("" "", $H33, 1) - 1)), 0)), VALUE(IF(REGEXMATCH($J33, "" ""), LEFT($J33, (FIND("" "", $J33, 1) - 1)), 0)), VALUE(IF(REGEX"&amp;"MATCH($L33, "" ""), LEFT($L33, (FIND("" "", $L33, 1) - 1)), 0)), VALUE(IF(REGEXMATCH($N33, "" ""), LEFT($N33, (FIND("" "", $N33, 1) - 1)), 0)), VALUE(IF(REGEXMATCH($P33, "" ""), LEFT($P33, (FIND("" "", $P33, 1) - 1)), 0)), VALUE(IF(REGEXMATCH($R33, "" "")"&amp;", LEFT($R33, (FIND("" "", $R33, 1) - 1)), 0)), VALUE(IF(REGEXMATCH($T33, "" ""), LEFT($T33, (FIND("" "", $T33, 1) - 1)), 0)), VALUE(IF(REGEXMATCH($V33, "" ""), LEFT($V33, (FIND("" "", $V33, 1) - 1)), 0)))"),10.4)</f>
        <v>10.4</v>
      </c>
      <c r="X33" s="17">
        <f t="shared" si="1"/>
        <v>13</v>
      </c>
    </row>
    <row r="34">
      <c r="A34" s="13">
        <v>34.0</v>
      </c>
      <c r="B34" s="43">
        <v>1.60118733154E11</v>
      </c>
      <c r="C34" s="31" t="s">
        <v>328</v>
      </c>
      <c r="D34" s="15"/>
      <c r="E34" s="14" t="s">
        <v>130</v>
      </c>
      <c r="F34" s="14" t="s">
        <v>131</v>
      </c>
      <c r="G34" s="14" t="s">
        <v>38</v>
      </c>
      <c r="H34" s="14" t="s">
        <v>39</v>
      </c>
      <c r="I34" s="14" t="s">
        <v>33</v>
      </c>
      <c r="J34" s="14" t="s">
        <v>34</v>
      </c>
      <c r="K34" s="14"/>
      <c r="L34" s="14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7">
        <f>IFERROR(__xludf.DUMMYFUNCTION("MAX(VALUE(IF(REGEXMATCH($F34, "" ""), LEFT($F34, (FIND("" "", $F34, 1) - 1)), 0)), VALUE(IF(REGEXMATCH($H34, "" ""), LEFT($H34, (FIND("" "", $H34, 1) - 1)), 0)), VALUE(IF(REGEXMATCH($J34, "" ""), LEFT($J34, (FIND("" "", $J34, 1) - 1)), 0)), VALUE(IF(REGEX"&amp;"MATCH($L34, "" ""), LEFT($L34, (FIND("" "", $L34, 1) - 1)), 0)), VALUE(IF(REGEXMATCH($N34, "" ""), LEFT($N34, (FIND("" "", $N34, 1) - 1)), 0)), VALUE(IF(REGEXMATCH($P34, "" ""), LEFT($P34, (FIND("" "", $P34, 1) - 1)), 0)), VALUE(IF(REGEXMATCH($R34, "" "")"&amp;", LEFT($R34, (FIND("" "", $R34, 1) - 1)), 0)), VALUE(IF(REGEXMATCH($T34, "" ""), LEFT($T34, (FIND("" "", $T34, 1) - 1)), 0)), VALUE(IF(REGEXMATCH($V34, "" ""), LEFT($V34, (FIND("" "", $V34, 1) - 1)), 0)))"),6.25)</f>
        <v>6.25</v>
      </c>
      <c r="X34" s="17">
        <f t="shared" si="1"/>
        <v>7.8125</v>
      </c>
    </row>
    <row r="35">
      <c r="A35" s="13">
        <v>35.0</v>
      </c>
      <c r="B35" s="13">
        <v>1.60118733155E11</v>
      </c>
      <c r="C35" s="14" t="s">
        <v>329</v>
      </c>
      <c r="D35" s="30" t="s">
        <v>21</v>
      </c>
      <c r="E35" s="14" t="s">
        <v>38</v>
      </c>
      <c r="F35" s="14" t="s">
        <v>39</v>
      </c>
      <c r="G35" s="14" t="s">
        <v>197</v>
      </c>
      <c r="H35" s="14" t="s">
        <v>25</v>
      </c>
      <c r="I35" s="14" t="s">
        <v>330</v>
      </c>
      <c r="J35" s="16" t="s">
        <v>331</v>
      </c>
      <c r="K35" s="18" t="s">
        <v>35</v>
      </c>
      <c r="L35" s="18" t="s">
        <v>36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>
        <f>IFERROR(__xludf.DUMMYFUNCTION("MAX(VALUE(IF(REGEXMATCH($F35, "" ""), LEFT($F35, (FIND("" "", $F35, 1) - 1)), 0)), VALUE(IF(REGEXMATCH($H35, "" ""), LEFT($H35, (FIND("" "", $H35, 1) - 1)), 0)), VALUE(IF(REGEXMATCH($J35, "" ""), LEFT($J35, (FIND("" "", $J35, 1) - 1)), 0)), VALUE(IF(REGEX"&amp;"MATCH($L35, "" ""), LEFT($L35, (FIND("" "", $L35, 1) - 1)), 0)), VALUE(IF(REGEXMATCH($N35, "" ""), LEFT($N35, (FIND("" "", $N35, 1) - 1)), 0)), VALUE(IF(REGEXMATCH($P35, "" ""), LEFT($P35, (FIND("" "", $P35, 1) - 1)), 0)), VALUE(IF(REGEXMATCH($R35, "" "")"&amp;", LEFT($R35, (FIND("" "", $R35, 1) - 1)), 0)), VALUE(IF(REGEXMATCH($T35, "" ""), LEFT($T35, (FIND("" "", $T35, 1) - 1)), 0)), VALUE(IF(REGEXMATCH($V35, "" ""), LEFT($V35, (FIND("" "", $V35, 1) - 1)), 0)))"),8.5)</f>
        <v>8.5</v>
      </c>
      <c r="X35" s="17">
        <f t="shared" si="1"/>
        <v>10.625</v>
      </c>
    </row>
    <row r="36">
      <c r="A36" s="13">
        <v>37.0</v>
      </c>
      <c r="B36" s="43">
        <v>1.60118733157E11</v>
      </c>
      <c r="C36" s="31" t="s">
        <v>332</v>
      </c>
      <c r="D36" s="30" t="s">
        <v>21</v>
      </c>
      <c r="E36" s="14" t="s">
        <v>156</v>
      </c>
      <c r="F36" s="14" t="s">
        <v>157</v>
      </c>
      <c r="G36" s="14"/>
      <c r="H36" s="14"/>
      <c r="I36" s="14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>
        <f>IFERROR(__xludf.DUMMYFUNCTION("MAX(VALUE(IF(REGEXMATCH($F36, "" ""), LEFT($F36, (FIND("" "", $F36, 1) - 1)), 0)), VALUE(IF(REGEXMATCH($H36, "" ""), LEFT($H36, (FIND("" "", $H36, 1) - 1)), 0)), VALUE(IF(REGEXMATCH($J36, "" ""), LEFT($J36, (FIND("" "", $J36, 1) - 1)), 0)), VALUE(IF(REGEX"&amp;"MATCH($L36, "" ""), LEFT($L36, (FIND("" "", $L36, 1) - 1)), 0)), VALUE(IF(REGEXMATCH($N36, "" ""), LEFT($N36, (FIND("" "", $N36, 1) - 1)), 0)), VALUE(IF(REGEXMATCH($P36, "" ""), LEFT($P36, (FIND("" "", $P36, 1) - 1)), 0)), VALUE(IF(REGEXMATCH($R36, "" "")"&amp;", LEFT($R36, (FIND("" "", $R36, 1) - 1)), 0)), VALUE(IF(REGEXMATCH($T36, "" ""), LEFT($T36, (FIND("" "", $T36, 1) - 1)), 0)), VALUE(IF(REGEXMATCH($V36, "" ""), LEFT($V36, (FIND("" "", $V36, 1) - 1)), 0)))"),16.64)</f>
        <v>16.64</v>
      </c>
      <c r="X36" s="17">
        <f t="shared" si="1"/>
        <v>20.8</v>
      </c>
    </row>
    <row r="37">
      <c r="A37" s="13">
        <v>38.0</v>
      </c>
      <c r="B37" s="43">
        <v>1.60118733158E11</v>
      </c>
      <c r="C37" s="31" t="s">
        <v>333</v>
      </c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>
        <f>IFERROR(__xludf.DUMMYFUNCTION("MAX(VALUE(IF(REGEXMATCH($F37, "" ""), LEFT($F37, (FIND("" "", $F37, 1) - 1)), 0)), VALUE(IF(REGEXMATCH($H37, "" ""), LEFT($H37, (FIND("" "", $H37, 1) - 1)), 0)), VALUE(IF(REGEXMATCH($J37, "" ""), LEFT($J37, (FIND("" "", $J37, 1) - 1)), 0)), VALUE(IF(REGEX"&amp;"MATCH($L37, "" ""), LEFT($L37, (FIND("" "", $L37, 1) - 1)), 0)), VALUE(IF(REGEXMATCH($N37, "" ""), LEFT($N37, (FIND("" "", $N37, 1) - 1)), 0)), VALUE(IF(REGEXMATCH($P37, "" ""), LEFT($P37, (FIND("" "", $P37, 1) - 1)), 0)), VALUE(IF(REGEXMATCH($R37, "" "")"&amp;", LEFT($R37, (FIND("" "", $R37, 1) - 1)), 0)), VALUE(IF(REGEXMATCH($T37, "" ""), LEFT($T37, (FIND("" "", $T37, 1) - 1)), 0)), VALUE(IF(REGEXMATCH($V37, "" ""), LEFT($V37, (FIND("" "", $V37, 1) - 1)), 0)))"),0.0)</f>
        <v>0</v>
      </c>
      <c r="X37" s="17">
        <f t="shared" si="1"/>
        <v>0</v>
      </c>
    </row>
    <row r="38">
      <c r="A38" s="13">
        <v>39.0</v>
      </c>
      <c r="B38" s="43">
        <v>1.60118733159E11</v>
      </c>
      <c r="C38" s="31" t="s">
        <v>334</v>
      </c>
      <c r="D38" s="30" t="s">
        <v>21</v>
      </c>
      <c r="E38" s="14" t="s">
        <v>101</v>
      </c>
      <c r="F38" s="16" t="s">
        <v>32</v>
      </c>
      <c r="G38" s="16" t="s">
        <v>48</v>
      </c>
      <c r="H38" s="16" t="s">
        <v>25</v>
      </c>
      <c r="I38" s="18" t="s">
        <v>149</v>
      </c>
      <c r="J38" s="18" t="s">
        <v>73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>
        <f>IFERROR(__xludf.DUMMYFUNCTION("MAX(VALUE(IF(REGEXMATCH($F38, "" ""), LEFT($F38, (FIND("" "", $F38, 1) - 1)), 0)), VALUE(IF(REGEXMATCH($H38, "" ""), LEFT($H38, (FIND("" "", $H38, 1) - 1)), 0)), VALUE(IF(REGEXMATCH($J38, "" ""), LEFT($J38, (FIND("" "", $J38, 1) - 1)), 0)), VALUE(IF(REGEX"&amp;"MATCH($L38, "" ""), LEFT($L38, (FIND("" "", $L38, 1) - 1)), 0)), VALUE(IF(REGEXMATCH($N38, "" ""), LEFT($N38, (FIND("" "", $N38, 1) - 1)), 0)), VALUE(IF(REGEXMATCH($P38, "" ""), LEFT($P38, (FIND("" "", $P38, 1) - 1)), 0)), VALUE(IF(REGEXMATCH($R38, "" "")"&amp;", LEFT($R38, (FIND("" "", $R38, 1) - 1)), 0)), VALUE(IF(REGEXMATCH($T38, "" ""), LEFT($T38, (FIND("" "", $T38, 1) - 1)), 0)), VALUE(IF(REGEXMATCH($V38, "" ""), LEFT($V38, (FIND("" "", $V38, 1) - 1)), 0)))"),8.0)</f>
        <v>8</v>
      </c>
      <c r="X38" s="17">
        <f t="shared" si="1"/>
        <v>10</v>
      </c>
    </row>
    <row r="39">
      <c r="A39" s="13">
        <v>40.0</v>
      </c>
      <c r="B39" s="43">
        <v>1.6011873316E11</v>
      </c>
      <c r="C39" s="31" t="s">
        <v>335</v>
      </c>
      <c r="D39" s="19" t="s">
        <v>21</v>
      </c>
      <c r="E39" s="16" t="s">
        <v>29</v>
      </c>
      <c r="F39" s="16" t="s">
        <v>30</v>
      </c>
      <c r="G39" s="16" t="s">
        <v>38</v>
      </c>
      <c r="H39" s="16" t="s">
        <v>39</v>
      </c>
      <c r="I39" s="16" t="s">
        <v>330</v>
      </c>
      <c r="J39" s="16" t="s">
        <v>331</v>
      </c>
      <c r="K39" s="16" t="s">
        <v>301</v>
      </c>
      <c r="L39" s="16" t="s">
        <v>142</v>
      </c>
      <c r="M39" s="18" t="s">
        <v>15</v>
      </c>
      <c r="N39" s="18" t="s">
        <v>94</v>
      </c>
      <c r="O39" s="16"/>
      <c r="P39" s="16"/>
      <c r="Q39" s="16"/>
      <c r="R39" s="16"/>
      <c r="S39" s="16"/>
      <c r="T39" s="16"/>
      <c r="U39" s="16"/>
      <c r="V39" s="16"/>
      <c r="W39" s="17">
        <f>IFERROR(__xludf.DUMMYFUNCTION("MAX(VALUE(IF(REGEXMATCH($F39, "" ""), LEFT($F39, (FIND("" "", $F39, 1) - 1)), 0)), VALUE(IF(REGEXMATCH($H39, "" ""), LEFT($H39, (FIND("" "", $H39, 1) - 1)), 0)), VALUE(IF(REGEXMATCH($J39, "" ""), LEFT($J39, (FIND("" "", $J39, 1) - 1)), 0)), VALUE(IF(REGEX"&amp;"MATCH($L39, "" ""), LEFT($L39, (FIND("" "", $L39, 1) - 1)), 0)), VALUE(IF(REGEXMATCH($N39, "" ""), LEFT($N39, (FIND("" "", $N39, 1) - 1)), 0)), VALUE(IF(REGEXMATCH($P39, "" ""), LEFT($P39, (FIND("" "", $P39, 1) - 1)), 0)), VALUE(IF(REGEXMATCH($R39, "" "")"&amp;", LEFT($R39, (FIND("" "", $R39, 1) - 1)), 0)), VALUE(IF(REGEXMATCH($T39, "" ""), LEFT($T39, (FIND("" "", $T39, 1) - 1)), 0)), VALUE(IF(REGEXMATCH($V39, "" ""), LEFT($V39, (FIND("" "", $V39, 1) - 1)), 0)))"),7.5)</f>
        <v>7.5</v>
      </c>
      <c r="X39" s="17">
        <f t="shared" si="1"/>
        <v>9.375</v>
      </c>
    </row>
    <row r="40">
      <c r="A40" s="13">
        <v>41.0</v>
      </c>
      <c r="B40" s="43">
        <v>1.60118733161E11</v>
      </c>
      <c r="C40" s="31" t="s">
        <v>336</v>
      </c>
      <c r="D40" s="15"/>
      <c r="E40" s="18" t="s">
        <v>337</v>
      </c>
      <c r="F40" s="18" t="s">
        <v>28</v>
      </c>
      <c r="G40" s="14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>
        <f>IFERROR(__xludf.DUMMYFUNCTION("MAX(VALUE(IF(REGEXMATCH($F40, "" ""), LEFT($F40, (FIND("" "", $F40, 1) - 1)), 0)), VALUE(IF(REGEXMATCH($H40, "" ""), LEFT($H40, (FIND("" "", $H40, 1) - 1)), 0)), VALUE(IF(REGEXMATCH($J40, "" ""), LEFT($J40, (FIND("" "", $J40, 1) - 1)), 0)), VALUE(IF(REGEX"&amp;"MATCH($L40, "" ""), LEFT($L40, (FIND("" "", $L40, 1) - 1)), 0)), VALUE(IF(REGEXMATCH($N40, "" ""), LEFT($N40, (FIND("" "", $N40, 1) - 1)), 0)), VALUE(IF(REGEXMATCH($P40, "" ""), LEFT($P40, (FIND("" "", $P40, 1) - 1)), 0)), VALUE(IF(REGEXMATCH($R40, "" "")"&amp;", LEFT($R40, (FIND("" "", $R40, 1) - 1)), 0)), VALUE(IF(REGEXMATCH($T40, "" ""), LEFT($T40, (FIND("" "", $T40, 1) - 1)), 0)), VALUE(IF(REGEXMATCH($V40, "" ""), LEFT($V40, (FIND("" "", $V40, 1) - 1)), 0)))"),4.5)</f>
        <v>4.5</v>
      </c>
      <c r="X40" s="17">
        <f t="shared" si="1"/>
        <v>5.625</v>
      </c>
    </row>
    <row r="41">
      <c r="A41" s="43">
        <v>42.0</v>
      </c>
      <c r="B41" s="43">
        <v>1.60118733162E11</v>
      </c>
      <c r="C41" s="31" t="s">
        <v>338</v>
      </c>
      <c r="D41" s="30" t="s">
        <v>21</v>
      </c>
      <c r="E41" s="14" t="s">
        <v>38</v>
      </c>
      <c r="F41" s="14" t="s">
        <v>39</v>
      </c>
      <c r="G41" s="14" t="s">
        <v>24</v>
      </c>
      <c r="H41" s="14" t="s">
        <v>25</v>
      </c>
      <c r="I41" s="14" t="s">
        <v>33</v>
      </c>
      <c r="J41" s="14" t="s">
        <v>34</v>
      </c>
      <c r="K41" s="14" t="s">
        <v>108</v>
      </c>
      <c r="L41" s="16" t="s">
        <v>109</v>
      </c>
      <c r="M41" s="16"/>
      <c r="N41" s="16"/>
      <c r="O41" s="16"/>
      <c r="P41" s="33"/>
      <c r="Q41" s="33"/>
      <c r="R41" s="33"/>
      <c r="S41" s="33"/>
      <c r="T41" s="33"/>
      <c r="U41" s="33"/>
      <c r="V41" s="33"/>
      <c r="W41" s="45">
        <f>IFERROR(__xludf.DUMMYFUNCTION("MAX(VALUE(IF(REGEXMATCH($F41, "" ""), LEFT($F41, (FIND("" "", $F41, 1) - 1)), 0)), VALUE(IF(REGEXMATCH($H41, "" ""), LEFT($H41, (FIND("" "", $H41, 1) - 1)), 0)), VALUE(IF(REGEXMATCH($J41, "" ""), LEFT($J41, (FIND("" "", $J41, 1) - 1)), 0)), VALUE(IF(REGEX"&amp;"MATCH($L41, "" ""), LEFT($L41, (FIND("" "", $L41, 1) - 1)), 0)), VALUE(IF(REGEXMATCH($N41, "" ""), LEFT($N41, (FIND("" "", $N41, 1) - 1)), 0)), VALUE(IF(REGEXMATCH($P41, "" ""), LEFT($P41, (FIND("" "", $P41, 1) - 1)), 0)), VALUE(IF(REGEXMATCH($R41, "" "")"&amp;", LEFT($R41, (FIND("" "", $R41, 1) - 1)), 0)), VALUE(IF(REGEXMATCH($T41, "" ""), LEFT($T41, (FIND("" "", $T41, 1) - 1)), 0)), VALUE(IF(REGEXMATCH($V41, "" ""), LEFT($V41, (FIND("" "", $V41, 1) - 1)), 0)))"),5.0)</f>
        <v>5</v>
      </c>
      <c r="X41" s="45">
        <f t="shared" si="1"/>
        <v>6.25</v>
      </c>
    </row>
    <row r="42">
      <c r="A42" s="13">
        <v>43.0</v>
      </c>
      <c r="B42" s="13">
        <v>1.60118733163E11</v>
      </c>
      <c r="C42" s="14" t="s">
        <v>339</v>
      </c>
      <c r="D42" s="20" t="s">
        <v>21</v>
      </c>
      <c r="E42" s="16" t="s">
        <v>241</v>
      </c>
      <c r="F42" s="16" t="s">
        <v>142</v>
      </c>
      <c r="G42" s="16" t="s">
        <v>27</v>
      </c>
      <c r="H42" s="16" t="s">
        <v>28</v>
      </c>
      <c r="I42" s="16" t="s">
        <v>38</v>
      </c>
      <c r="J42" s="16" t="s">
        <v>39</v>
      </c>
      <c r="K42" s="16" t="s">
        <v>33</v>
      </c>
      <c r="L42" s="16" t="s">
        <v>34</v>
      </c>
      <c r="M42" s="18" t="s">
        <v>50</v>
      </c>
      <c r="N42" s="18" t="s">
        <v>51</v>
      </c>
      <c r="O42" s="16"/>
      <c r="P42" s="16"/>
      <c r="Q42" s="16"/>
      <c r="R42" s="16"/>
      <c r="S42" s="16"/>
      <c r="T42" s="16"/>
      <c r="U42" s="16"/>
      <c r="V42" s="16"/>
      <c r="W42" s="17">
        <f>IFERROR(__xludf.DUMMYFUNCTION("MAX(VALUE(IF(REGEXMATCH($F42, "" ""), LEFT($F42, (FIND("" "", $F42, 1) - 1)), 0)), VALUE(IF(REGEXMATCH($H42, "" ""), LEFT($H42, (FIND("" "", $H42, 1) - 1)), 0)), VALUE(IF(REGEXMATCH($J42, "" ""), LEFT($J42, (FIND("" "", $J42, 1) - 1)), 0)), VALUE(IF(REGEX"&amp;"MATCH($L42, "" ""), LEFT($L42, (FIND("" "", $L42, 1) - 1)), 0)), VALUE(IF(REGEXMATCH($N42, "" ""), LEFT($N42, (FIND("" "", $N42, 1) - 1)), 0)), VALUE(IF(REGEXMATCH($P42, "" ""), LEFT($P42, (FIND("" "", $P42, 1) - 1)), 0)), VALUE(IF(REGEXMATCH($R42, "" "")"&amp;", LEFT($R42, (FIND("" "", $R42, 1) - 1)), 0)), VALUE(IF(REGEXMATCH($T42, "" ""), LEFT($T42, (FIND("" "", $T42, 1) - 1)), 0)), VALUE(IF(REGEXMATCH($V42, "" ""), LEFT($V42, (FIND("" "", $V42, 1) - 1)), 0)))"),10.4)</f>
        <v>10.4</v>
      </c>
      <c r="X42" s="17">
        <f t="shared" si="1"/>
        <v>13</v>
      </c>
    </row>
    <row r="43">
      <c r="A43" s="13">
        <v>44.0</v>
      </c>
      <c r="B43" s="13">
        <v>1.60118733164E11</v>
      </c>
      <c r="C43" s="14" t="s">
        <v>340</v>
      </c>
      <c r="D43" s="15"/>
      <c r="E43" s="14"/>
      <c r="F43" s="14"/>
      <c r="G43" s="14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>
        <f>IFERROR(__xludf.DUMMYFUNCTION("MAX(VALUE(IF(REGEXMATCH($F43, "" ""), LEFT($F43, (FIND("" "", $F43, 1) - 1)), 0)), VALUE(IF(REGEXMATCH($H43, "" ""), LEFT($H43, (FIND("" "", $H43, 1) - 1)), 0)), VALUE(IF(REGEXMATCH($J43, "" ""), LEFT($J43, (FIND("" "", $J43, 1) - 1)), 0)), VALUE(IF(REGEX"&amp;"MATCH($L43, "" ""), LEFT($L43, (FIND("" "", $L43, 1) - 1)), 0)), VALUE(IF(REGEXMATCH($N43, "" ""), LEFT($N43, (FIND("" "", $N43, 1) - 1)), 0)), VALUE(IF(REGEXMATCH($P43, "" ""), LEFT($P43, (FIND("" "", $P43, 1) - 1)), 0)), VALUE(IF(REGEXMATCH($R43, "" "")"&amp;", LEFT($R43, (FIND("" "", $R43, 1) - 1)), 0)), VALUE(IF(REGEXMATCH($T43, "" ""), LEFT($T43, (FIND("" "", $T43, 1) - 1)), 0)), VALUE(IF(REGEXMATCH($V43, "" ""), LEFT($V43, (FIND("" "", $V43, 1) - 1)), 0)))"),0.0)</f>
        <v>0</v>
      </c>
      <c r="X43" s="17">
        <f t="shared" si="1"/>
        <v>0</v>
      </c>
      <c r="Y43" s="21"/>
      <c r="Z43" s="21"/>
      <c r="AA43" s="21"/>
      <c r="AB43" s="21"/>
    </row>
    <row r="44">
      <c r="A44" s="13">
        <v>45.0</v>
      </c>
      <c r="B44" s="13">
        <v>1.60118733165E11</v>
      </c>
      <c r="C44" s="14" t="s">
        <v>341</v>
      </c>
      <c r="D44" s="15" t="s">
        <v>21</v>
      </c>
      <c r="E44" s="14" t="s">
        <v>44</v>
      </c>
      <c r="F44" s="14" t="s">
        <v>42</v>
      </c>
      <c r="G44" s="14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>
        <f>IFERROR(__xludf.DUMMYFUNCTION("MAX(VALUE(IF(REGEXMATCH($F44, "" ""), LEFT($F44, (FIND("" "", $F44, 1) - 1)), 0)), VALUE(IF(REGEXMATCH($H44, "" ""), LEFT($H44, (FIND("" "", $H44, 1) - 1)), 0)), VALUE(IF(REGEXMATCH($J44, "" ""), LEFT($J44, (FIND("" "", $J44, 1) - 1)), 0)), VALUE(IF(REGEX"&amp;"MATCH($L44, "" ""), LEFT($L44, (FIND("" "", $L44, 1) - 1)), 0)), VALUE(IF(REGEXMATCH($N44, "" ""), LEFT($N44, (FIND("" "", $N44, 1) - 1)), 0)), VALUE(IF(REGEXMATCH($P44, "" ""), LEFT($P44, (FIND("" "", $P44, 1) - 1)), 0)), VALUE(IF(REGEXMATCH($R44, "" "")"&amp;", LEFT($R44, (FIND("" "", $R44, 1) - 1)), 0)), VALUE(IF(REGEXMATCH($T44, "" ""), LEFT($T44, (FIND("" "", $T44, 1) - 1)), 0)), VALUE(IF(REGEXMATCH($V44, "" ""), LEFT($V44, (FIND("" "", $V44, 1) - 1)), 0)))"),14.0)</f>
        <v>14</v>
      </c>
      <c r="X44" s="17">
        <f t="shared" si="1"/>
        <v>17.5</v>
      </c>
    </row>
    <row r="45">
      <c r="A45" s="13">
        <v>46.0</v>
      </c>
      <c r="B45" s="13">
        <v>1.60118733166E11</v>
      </c>
      <c r="C45" s="14" t="s">
        <v>342</v>
      </c>
      <c r="D45" s="20"/>
      <c r="E45" s="16" t="s">
        <v>90</v>
      </c>
      <c r="F45" s="16" t="s">
        <v>91</v>
      </c>
      <c r="G45" s="16" t="s">
        <v>27</v>
      </c>
      <c r="H45" s="16" t="s">
        <v>28</v>
      </c>
      <c r="I45" s="16" t="s">
        <v>130</v>
      </c>
      <c r="J45" s="16" t="s">
        <v>131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>
        <f>IFERROR(__xludf.DUMMYFUNCTION("MAX(VALUE(IF(REGEXMATCH($F45, "" ""), LEFT($F45, (FIND("" "", $F45, 1) - 1)), 0)), VALUE(IF(REGEXMATCH($H45, "" ""), LEFT($H45, (FIND("" "", $H45, 1) - 1)), 0)), VALUE(IF(REGEXMATCH($J45, "" ""), LEFT($J45, (FIND("" "", $J45, 1) - 1)), 0)), VALUE(IF(REGEX"&amp;"MATCH($L45, "" ""), LEFT($L45, (FIND("" "", $L45, 1) - 1)), 0)), VALUE(IF(REGEXMATCH($N45, "" ""), LEFT($N45, (FIND("" "", $N45, 1) - 1)), 0)), VALUE(IF(REGEXMATCH($P45, "" ""), LEFT($P45, (FIND("" "", $P45, 1) - 1)), 0)), VALUE(IF(REGEXMATCH($R45, "" "")"&amp;", LEFT($R45, (FIND("" "", $R45, 1) - 1)), 0)), VALUE(IF(REGEXMATCH($T45, "" ""), LEFT($T45, (FIND("" "", $T45, 1) - 1)), 0)), VALUE(IF(REGEXMATCH($V45, "" ""), LEFT($V45, (FIND("" "", $V45, 1) - 1)), 0)))"),12.73)</f>
        <v>12.73</v>
      </c>
      <c r="X45" s="17">
        <f t="shared" si="1"/>
        <v>15.9125</v>
      </c>
    </row>
    <row r="46">
      <c r="A46" s="13">
        <v>47.0</v>
      </c>
      <c r="B46" s="13">
        <v>1.60118733167E11</v>
      </c>
      <c r="C46" s="14" t="s">
        <v>343</v>
      </c>
      <c r="D46" s="15" t="s">
        <v>21</v>
      </c>
      <c r="E46" s="14" t="s">
        <v>156</v>
      </c>
      <c r="F46" s="16" t="s">
        <v>157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>
        <f>IFERROR(__xludf.DUMMYFUNCTION("MAX(VALUE(IF(REGEXMATCH($F46, "" ""), LEFT($F46, (FIND("" "", $F46, 1) - 1)), 0)), VALUE(IF(REGEXMATCH($H46, "" ""), LEFT($H46, (FIND("" "", $H46, 1) - 1)), 0)), VALUE(IF(REGEXMATCH($J46, "" ""), LEFT($J46, (FIND("" "", $J46, 1) - 1)), 0)), VALUE(IF(REGEX"&amp;"MATCH($L46, "" ""), LEFT($L46, (FIND("" "", $L46, 1) - 1)), 0)), VALUE(IF(REGEXMATCH($N46, "" ""), LEFT($N46, (FIND("" "", $N46, 1) - 1)), 0)), VALUE(IF(REGEXMATCH($P46, "" ""), LEFT($P46, (FIND("" "", $P46, 1) - 1)), 0)), VALUE(IF(REGEXMATCH($R46, "" "")"&amp;", LEFT($R46, (FIND("" "", $R46, 1) - 1)), 0)), VALUE(IF(REGEXMATCH($T46, "" ""), LEFT($T46, (FIND("" "", $T46, 1) - 1)), 0)), VALUE(IF(REGEXMATCH($V46, "" ""), LEFT($V46, (FIND("" "", $V46, 1) - 1)), 0)))"),16.64)</f>
        <v>16.64</v>
      </c>
      <c r="X46" s="17">
        <f t="shared" si="1"/>
        <v>20.8</v>
      </c>
    </row>
    <row r="47">
      <c r="A47" s="13">
        <v>48.0</v>
      </c>
      <c r="B47" s="13">
        <v>1.60118733168E11</v>
      </c>
      <c r="C47" s="14" t="s">
        <v>344</v>
      </c>
      <c r="D47" s="15" t="s">
        <v>21</v>
      </c>
      <c r="E47" s="14" t="s">
        <v>45</v>
      </c>
      <c r="F47" s="14" t="s">
        <v>46</v>
      </c>
      <c r="G47" s="14" t="s">
        <v>321</v>
      </c>
      <c r="H47" s="14" t="s">
        <v>94</v>
      </c>
      <c r="I47" s="18" t="s">
        <v>35</v>
      </c>
      <c r="J47" s="18" t="s">
        <v>36</v>
      </c>
      <c r="K47" s="18" t="s">
        <v>187</v>
      </c>
      <c r="L47" s="18" t="s">
        <v>188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>
        <f>IFERROR(__xludf.DUMMYFUNCTION("MAX(VALUE(IF(REGEXMATCH($F47, "" ""), LEFT($F47, (FIND("" "", $F47, 1) - 1)), 0)), VALUE(IF(REGEXMATCH($H47, "" ""), LEFT($H47, (FIND("" "", $H47, 1) - 1)), 0)), VALUE(IF(REGEXMATCH($J47, "" ""), LEFT($J47, (FIND("" "", $J47, 1) - 1)), 0)), VALUE(IF(REGEX"&amp;"MATCH($L47, "" ""), LEFT($L47, (FIND("" "", $L47, 1) - 1)), 0)), VALUE(IF(REGEXMATCH($N47, "" ""), LEFT($N47, (FIND("" "", $N47, 1) - 1)), 0)), VALUE(IF(REGEXMATCH($P47, "" ""), LEFT($P47, (FIND("" "", $P47, 1) - 1)), 0)), VALUE(IF(REGEXMATCH($R47, "" "")"&amp;", LEFT($R47, (FIND("" "", $R47, 1) - 1)), 0)), VALUE(IF(REGEXMATCH($T47, "" ""), LEFT($T47, (FIND("" "", $T47, 1) - 1)), 0)), VALUE(IF(REGEXMATCH($V47, "" ""), LEFT($V47, (FIND("" "", $V47, 1) - 1)), 0)))"),12.0)</f>
        <v>12</v>
      </c>
      <c r="X47" s="17">
        <f t="shared" si="1"/>
        <v>15</v>
      </c>
    </row>
    <row r="48">
      <c r="A48" s="13">
        <v>49.0</v>
      </c>
      <c r="B48" s="13">
        <v>1.60118733169E11</v>
      </c>
      <c r="C48" s="14" t="s">
        <v>345</v>
      </c>
      <c r="D48" s="15" t="s">
        <v>21</v>
      </c>
      <c r="E48" s="14" t="s">
        <v>103</v>
      </c>
      <c r="F48" s="16" t="s">
        <v>39</v>
      </c>
      <c r="G48" s="16" t="s">
        <v>346</v>
      </c>
      <c r="H48" s="16" t="s">
        <v>157</v>
      </c>
      <c r="I48" s="16" t="s">
        <v>48</v>
      </c>
      <c r="J48" s="16" t="s">
        <v>25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>
        <f>IFERROR(__xludf.DUMMYFUNCTION("MAX(VALUE(IF(REGEXMATCH($F48, "" ""), LEFT($F48, (FIND("" "", $F48, 1) - 1)), 0)), VALUE(IF(REGEXMATCH($H48, "" ""), LEFT($H48, (FIND("" "", $H48, 1) - 1)), 0)), VALUE(IF(REGEXMATCH($J48, "" ""), LEFT($J48, (FIND("" "", $J48, 1) - 1)), 0)), VALUE(IF(REGEX"&amp;"MATCH($L48, "" ""), LEFT($L48, (FIND("" "", $L48, 1) - 1)), 0)), VALUE(IF(REGEXMATCH($N48, "" ""), LEFT($N48, (FIND("" "", $N48, 1) - 1)), 0)), VALUE(IF(REGEXMATCH($P48, "" ""), LEFT($P48, (FIND("" "", $P48, 1) - 1)), 0)), VALUE(IF(REGEXMATCH($R48, "" "")"&amp;", LEFT($R48, (FIND("" "", $R48, 1) - 1)), 0)), VALUE(IF(REGEXMATCH($T48, "" ""), LEFT($T48, (FIND("" "", $T48, 1) - 1)), 0)), VALUE(IF(REGEXMATCH($V48, "" ""), LEFT($V48, (FIND("" "", $V48, 1) - 1)), 0)))"),16.64)</f>
        <v>16.64</v>
      </c>
      <c r="X48" s="17">
        <f t="shared" si="1"/>
        <v>20.8</v>
      </c>
    </row>
    <row r="49">
      <c r="A49" s="13">
        <v>50.0</v>
      </c>
      <c r="B49" s="13">
        <v>1.6011873317E11</v>
      </c>
      <c r="C49" s="14" t="s">
        <v>347</v>
      </c>
      <c r="D49" s="15" t="s">
        <v>21</v>
      </c>
      <c r="E49" s="14" t="s">
        <v>197</v>
      </c>
      <c r="F49" s="14" t="s">
        <v>25</v>
      </c>
      <c r="G49" s="14" t="s">
        <v>33</v>
      </c>
      <c r="H49" s="16" t="s">
        <v>34</v>
      </c>
      <c r="I49" s="18" t="s">
        <v>172</v>
      </c>
      <c r="J49" s="18" t="s">
        <v>173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>
        <f>IFERROR(__xludf.DUMMYFUNCTION("MAX(VALUE(IF(REGEXMATCH($F49, "" ""), LEFT($F49, (FIND("" "", $F49, 1) - 1)), 0)), VALUE(IF(REGEXMATCH($H49, "" ""), LEFT($H49, (FIND("" "", $H49, 1) - 1)), 0)), VALUE(IF(REGEXMATCH($J49, "" ""), LEFT($J49, (FIND("" "", $J49, 1) - 1)), 0)), VALUE(IF(REGEX"&amp;"MATCH($L49, "" ""), LEFT($L49, (FIND("" "", $L49, 1) - 1)), 0)), VALUE(IF(REGEXMATCH($N49, "" ""), LEFT($N49, (FIND("" "", $N49, 1) - 1)), 0)), VALUE(IF(REGEXMATCH($P49, "" ""), LEFT($P49, (FIND("" "", $P49, 1) - 1)), 0)), VALUE(IF(REGEXMATCH($R49, "" "")"&amp;", LEFT($R49, (FIND("" "", $R49, 1) - 1)), 0)), VALUE(IF(REGEXMATCH($T49, "" ""), LEFT($T49, (FIND("" "", $T49, 1) - 1)), 0)), VALUE(IF(REGEXMATCH($V49, "" ""), LEFT($V49, (FIND("" "", $V49, 1) - 1)), 0)))"),4.0)</f>
        <v>4</v>
      </c>
      <c r="X49" s="17">
        <f t="shared" si="1"/>
        <v>5</v>
      </c>
    </row>
    <row r="50">
      <c r="A50" s="13">
        <v>51.0</v>
      </c>
      <c r="B50" s="13">
        <v>1.60118733171E11</v>
      </c>
      <c r="C50" s="14" t="s">
        <v>348</v>
      </c>
      <c r="D50" s="15"/>
      <c r="E50" s="14" t="s">
        <v>136</v>
      </c>
      <c r="F50" s="14" t="s">
        <v>66</v>
      </c>
      <c r="G50" s="14"/>
      <c r="H50" s="14"/>
      <c r="I50" s="14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>
        <f>IFERROR(__xludf.DUMMYFUNCTION("MAX(VALUE(IF(REGEXMATCH($F50, "" ""), LEFT($F50, (FIND("" "", $F50, 1) - 1)), 0)), VALUE(IF(REGEXMATCH($H50, "" ""), LEFT($H50, (FIND("" "", $H50, 1) - 1)), 0)), VALUE(IF(REGEXMATCH($J50, "" ""), LEFT($J50, (FIND("" "", $J50, 1) - 1)), 0)), VALUE(IF(REGEX"&amp;"MATCH($L50, "" ""), LEFT($L50, (FIND("" "", $L50, 1) - 1)), 0)), VALUE(IF(REGEXMATCH($N50, "" ""), LEFT($N50, (FIND("" "", $N50, 1) - 1)), 0)), VALUE(IF(REGEXMATCH($P50, "" ""), LEFT($P50, (FIND("" "", $P50, 1) - 1)), 0)), VALUE(IF(REGEXMATCH($R50, "" "")"&amp;", LEFT($R50, (FIND("" "", $R50, 1) - 1)), 0)), VALUE(IF(REGEXMATCH($T50, "" ""), LEFT($T50, (FIND("" "", $T50, 1) - 1)), 0)), VALUE(IF(REGEXMATCH($V50, "" ""), LEFT($V50, (FIND("" "", $V50, 1) - 1)), 0)))"),7.6)</f>
        <v>7.6</v>
      </c>
      <c r="X50" s="17">
        <f t="shared" si="1"/>
        <v>9.5</v>
      </c>
    </row>
    <row r="51">
      <c r="A51" s="13">
        <v>52.0</v>
      </c>
      <c r="B51" s="13">
        <v>1.60118733172E11</v>
      </c>
      <c r="C51" s="14" t="s">
        <v>349</v>
      </c>
      <c r="D51" s="30" t="s">
        <v>21</v>
      </c>
      <c r="E51" s="14" t="s">
        <v>346</v>
      </c>
      <c r="F51" s="14" t="s">
        <v>157</v>
      </c>
      <c r="G51" s="14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7">
        <f>IFERROR(__xludf.DUMMYFUNCTION("MAX(VALUE(IF(REGEXMATCH($F51, "" ""), LEFT($F51, (FIND("" "", $F51, 1) - 1)), 0)), VALUE(IF(REGEXMATCH($H51, "" ""), LEFT($H51, (FIND("" "", $H51, 1) - 1)), 0)), VALUE(IF(REGEXMATCH($J51, "" ""), LEFT($J51, (FIND("" "", $J51, 1) - 1)), 0)), VALUE(IF(REGEX"&amp;"MATCH($L51, "" ""), LEFT($L51, (FIND("" "", $L51, 1) - 1)), 0)), VALUE(IF(REGEXMATCH($N51, "" ""), LEFT($N51, (FIND("" "", $N51, 1) - 1)), 0)), VALUE(IF(REGEXMATCH($P51, "" ""), LEFT($P51, (FIND("" "", $P51, 1) - 1)), 0)), VALUE(IF(REGEXMATCH($R51, "" "")"&amp;", LEFT($R51, (FIND("" "", $R51, 1) - 1)), 0)), VALUE(IF(REGEXMATCH($T51, "" ""), LEFT($T51, (FIND("" "", $T51, 1) - 1)), 0)), VALUE(IF(REGEXMATCH($V51, "" ""), LEFT($V51, (FIND("" "", $V51, 1) - 1)), 0)))"),16.64)</f>
        <v>16.64</v>
      </c>
      <c r="X51" s="17">
        <f t="shared" si="1"/>
        <v>20.8</v>
      </c>
    </row>
    <row r="52">
      <c r="A52" s="13">
        <v>53.0</v>
      </c>
      <c r="B52" s="13">
        <v>1.60118733173E11</v>
      </c>
      <c r="C52" s="14" t="s">
        <v>350</v>
      </c>
      <c r="D52" s="30" t="s">
        <v>21</v>
      </c>
      <c r="E52" s="14" t="s">
        <v>93</v>
      </c>
      <c r="F52" s="16" t="s">
        <v>94</v>
      </c>
      <c r="G52" s="16" t="s">
        <v>351</v>
      </c>
      <c r="H52" s="16" t="s">
        <v>352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>
        <f>IFERROR(__xludf.DUMMYFUNCTION("MAX(VALUE(IF(REGEXMATCH($F52, "" ""), LEFT($F52, (FIND("" "", $F52, 1) - 1)), 0)), VALUE(IF(REGEXMATCH($H52, "" ""), LEFT($H52, (FIND("" "", $H52, 1) - 1)), 0)), VALUE(IF(REGEXMATCH($J52, "" ""), LEFT($J52, (FIND("" "", $J52, 1) - 1)), 0)), VALUE(IF(REGEX"&amp;"MATCH($L52, "" ""), LEFT($L52, (FIND("" "", $L52, 1) - 1)), 0)), VALUE(IF(REGEXMATCH($N52, "" ""), LEFT($N52, (FIND("" "", $N52, 1) - 1)), 0)), VALUE(IF(REGEXMATCH($P52, "" ""), LEFT($P52, (FIND("" "", $P52, 1) - 1)), 0)), VALUE(IF(REGEXMATCH($R52, "" "")"&amp;", LEFT($R52, (FIND("" "", $R52, 1) - 1)), 0)), VALUE(IF(REGEXMATCH($T52, "" ""), LEFT($T52, (FIND("" "", $T52, 1) - 1)), 0)), VALUE(IF(REGEXMATCH($V52, "" ""), LEFT($V52, (FIND("" "", $V52, 1) - 1)), 0)))"),15.0)</f>
        <v>15</v>
      </c>
      <c r="X52" s="17">
        <f t="shared" si="1"/>
        <v>18.75</v>
      </c>
    </row>
    <row r="53">
      <c r="A53" s="13">
        <v>54.0</v>
      </c>
      <c r="B53" s="13">
        <v>1.60118733174E11</v>
      </c>
      <c r="C53" s="14" t="s">
        <v>353</v>
      </c>
      <c r="D53" s="15"/>
      <c r="E53" s="14" t="s">
        <v>82</v>
      </c>
      <c r="F53" s="16" t="s">
        <v>66</v>
      </c>
      <c r="G53" s="16" t="s">
        <v>90</v>
      </c>
      <c r="H53" s="16" t="s">
        <v>91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>
        <f>IFERROR(__xludf.DUMMYFUNCTION("MAX(VALUE(IF(REGEXMATCH($F53, "" ""), LEFT($F53, (FIND("" "", $F53, 1) - 1)), 0)), VALUE(IF(REGEXMATCH($H53, "" ""), LEFT($H53, (FIND("" "", $H53, 1) - 1)), 0)), VALUE(IF(REGEXMATCH($J53, "" ""), LEFT($J53, (FIND("" "", $J53, 1) - 1)), 0)), VALUE(IF(REGEX"&amp;"MATCH($L53, "" ""), LEFT($L53, (FIND("" "", $L53, 1) - 1)), 0)), VALUE(IF(REGEXMATCH($N53, "" ""), LEFT($N53, (FIND("" "", $N53, 1) - 1)), 0)), VALUE(IF(REGEXMATCH($P53, "" ""), LEFT($P53, (FIND("" "", $P53, 1) - 1)), 0)), VALUE(IF(REGEXMATCH($R53, "" "")"&amp;", LEFT($R53, (FIND("" "", $R53, 1) - 1)), 0)), VALUE(IF(REGEXMATCH($T53, "" ""), LEFT($T53, (FIND("" "", $T53, 1) - 1)), 0)), VALUE(IF(REGEXMATCH($V53, "" ""), LEFT($V53, (FIND("" "", $V53, 1) - 1)), 0)))"),12.73)</f>
        <v>12.73</v>
      </c>
      <c r="X53" s="17">
        <f t="shared" si="1"/>
        <v>15.9125</v>
      </c>
    </row>
    <row r="54">
      <c r="A54" s="13">
        <v>55.0</v>
      </c>
      <c r="B54" s="13">
        <v>1.60118733175E11</v>
      </c>
      <c r="C54" s="18" t="s">
        <v>354</v>
      </c>
      <c r="D54" s="19" t="s">
        <v>21</v>
      </c>
      <c r="E54" s="14" t="s">
        <v>45</v>
      </c>
      <c r="F54" s="14" t="s">
        <v>46</v>
      </c>
      <c r="G54" s="18" t="s">
        <v>187</v>
      </c>
      <c r="H54" s="18" t="s">
        <v>188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>
        <f>IFERROR(__xludf.DUMMYFUNCTION("MAX(VALUE(IF(REGEXMATCH($F54, "" ""), LEFT($F54, (FIND("" "", $F54, 1) - 1)), 0)), VALUE(IF(REGEXMATCH($H54, "" ""), LEFT($H54, (FIND("" "", $H54, 1) - 1)), 0)), VALUE(IF(REGEXMATCH($J54, "" ""), LEFT($J54, (FIND("" "", $J54, 1) - 1)), 0)), VALUE(IF(REGEX"&amp;"MATCH($L54, "" ""), LEFT($L54, (FIND("" "", $L54, 1) - 1)), 0)), VALUE(IF(REGEXMATCH($N54, "" ""), LEFT($N54, (FIND("" "", $N54, 1) - 1)), 0)), VALUE(IF(REGEXMATCH($P54, "" ""), LEFT($P54, (FIND("" "", $P54, 1) - 1)), 0)), VALUE(IF(REGEXMATCH($R54, "" "")"&amp;", LEFT($R54, (FIND("" "", $R54, 1) - 1)), 0)), VALUE(IF(REGEXMATCH($T54, "" ""), LEFT($T54, (FIND("" "", $T54, 1) - 1)), 0)), VALUE(IF(REGEXMATCH($V54, "" ""), LEFT($V54, (FIND("" "", $V54, 1) - 1)), 0)))"),12.0)</f>
        <v>12</v>
      </c>
      <c r="X54" s="17">
        <f t="shared" si="1"/>
        <v>15</v>
      </c>
    </row>
    <row r="55">
      <c r="A55" s="13">
        <v>56.0</v>
      </c>
      <c r="B55" s="13">
        <v>1.60118733176E11</v>
      </c>
      <c r="C55" s="14" t="s">
        <v>355</v>
      </c>
      <c r="D55" s="15"/>
      <c r="E55" s="14"/>
      <c r="F55" s="14"/>
      <c r="G55" s="14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7">
        <f>IFERROR(__xludf.DUMMYFUNCTION("MAX(VALUE(IF(REGEXMATCH($F55, "" ""), LEFT($F55, (FIND("" "", $F55, 1) - 1)), 0)), VALUE(IF(REGEXMATCH($H55, "" ""), LEFT($H55, (FIND("" "", $H55, 1) - 1)), 0)), VALUE(IF(REGEXMATCH($J55, "" ""), LEFT($J55, (FIND("" "", $J55, 1) - 1)), 0)), VALUE(IF(REGEX"&amp;"MATCH($L55, "" ""), LEFT($L55, (FIND("" "", $L55, 1) - 1)), 0)), VALUE(IF(REGEXMATCH($N55, "" ""), LEFT($N55, (FIND("" "", $N55, 1) - 1)), 0)), VALUE(IF(REGEXMATCH($P55, "" ""), LEFT($P55, (FIND("" "", $P55, 1) - 1)), 0)), VALUE(IF(REGEXMATCH($R55, "" "")"&amp;", LEFT($R55, (FIND("" "", $R55, 1) - 1)), 0)), VALUE(IF(REGEXMATCH($T55, "" ""), LEFT($T55, (FIND("" "", $T55, 1) - 1)), 0)), VALUE(IF(REGEXMATCH($V55, "" ""), LEFT($V55, (FIND("" "", $V55, 1) - 1)), 0)))"),0.0)</f>
        <v>0</v>
      </c>
      <c r="X55" s="17">
        <f t="shared" si="1"/>
        <v>0</v>
      </c>
    </row>
    <row r="56">
      <c r="A56" s="13">
        <v>57.0</v>
      </c>
      <c r="B56" s="13">
        <v>1.60118733177E11</v>
      </c>
      <c r="C56" s="14" t="s">
        <v>356</v>
      </c>
      <c r="D56" s="15"/>
      <c r="E56" s="1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>
        <f>IFERROR(__xludf.DUMMYFUNCTION("MAX(VALUE(IF(REGEXMATCH($F56, "" ""), LEFT($F56, (FIND("" "", $F56, 1) - 1)), 0)), VALUE(IF(REGEXMATCH($H56, "" ""), LEFT($H56, (FIND("" "", $H56, 1) - 1)), 0)), VALUE(IF(REGEXMATCH($J56, "" ""), LEFT($J56, (FIND("" "", $J56, 1) - 1)), 0)), VALUE(IF(REGEX"&amp;"MATCH($L56, "" ""), LEFT($L56, (FIND("" "", $L56, 1) - 1)), 0)), VALUE(IF(REGEXMATCH($N56, "" ""), LEFT($N56, (FIND("" "", $N56, 1) - 1)), 0)), VALUE(IF(REGEXMATCH($P56, "" ""), LEFT($P56, (FIND("" "", $P56, 1) - 1)), 0)), VALUE(IF(REGEXMATCH($R56, "" "")"&amp;", LEFT($R56, (FIND("" "", $R56, 1) - 1)), 0)), VALUE(IF(REGEXMATCH($T56, "" ""), LEFT($T56, (FIND("" "", $T56, 1) - 1)), 0)), VALUE(IF(REGEXMATCH($V56, "" ""), LEFT($V56, (FIND("" "", $V56, 1) - 1)), 0)))"),0.0)</f>
        <v>0</v>
      </c>
      <c r="X56" s="17">
        <f t="shared" si="1"/>
        <v>0</v>
      </c>
    </row>
    <row r="57">
      <c r="A57" s="13">
        <v>58.0</v>
      </c>
      <c r="B57" s="13">
        <v>1.60118733178E11</v>
      </c>
      <c r="C57" s="14" t="s">
        <v>357</v>
      </c>
      <c r="D57" s="30" t="s">
        <v>21</v>
      </c>
      <c r="E57" s="16" t="s">
        <v>136</v>
      </c>
      <c r="F57" s="16" t="s">
        <v>66</v>
      </c>
      <c r="G57" s="16" t="s">
        <v>130</v>
      </c>
      <c r="H57" s="16" t="s">
        <v>131</v>
      </c>
      <c r="I57" s="16" t="s">
        <v>48</v>
      </c>
      <c r="J57" s="16" t="s">
        <v>25</v>
      </c>
      <c r="K57" s="18" t="s">
        <v>231</v>
      </c>
      <c r="L57" s="18" t="s">
        <v>232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7">
        <f>IFERROR(__xludf.DUMMYFUNCTION("MAX(VALUE(IF(REGEXMATCH($F57, "" ""), LEFT($F57, (FIND("" "", $F57, 1) - 1)), 0)), VALUE(IF(REGEXMATCH($H57, "" ""), LEFT($H57, (FIND("" "", $H57, 1) - 1)), 0)), VALUE(IF(REGEXMATCH($J57, "" ""), LEFT($J57, (FIND("" "", $J57, 1) - 1)), 0)), VALUE(IF(REGEX"&amp;"MATCH($L57, "" ""), LEFT($L57, (FIND("" "", $L57, 1) - 1)), 0)), VALUE(IF(REGEXMATCH($N57, "" ""), LEFT($N57, (FIND("" "", $N57, 1) - 1)), 0)), VALUE(IF(REGEXMATCH($P57, "" ""), LEFT($P57, (FIND("" "", $P57, 1) - 1)), 0)), VALUE(IF(REGEXMATCH($R57, "" "")"&amp;", LEFT($R57, (FIND("" "", $R57, 1) - 1)), 0)), VALUE(IF(REGEXMATCH($T57, "" ""), LEFT($T57, (FIND("" "", $T57, 1) - 1)), 0)), VALUE(IF(REGEXMATCH($V57, "" ""), LEFT($V57, (FIND("" "", $V57, 1) - 1)), 0)))"),11.0)</f>
        <v>11</v>
      </c>
      <c r="X57" s="17">
        <f t="shared" si="1"/>
        <v>13.75</v>
      </c>
    </row>
    <row r="58">
      <c r="A58" s="13">
        <v>59.0</v>
      </c>
      <c r="B58" s="13">
        <v>1.60118733179E11</v>
      </c>
      <c r="C58" s="14" t="s">
        <v>358</v>
      </c>
      <c r="D58" s="20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>
        <f>IFERROR(__xludf.DUMMYFUNCTION("MAX(VALUE(IF(REGEXMATCH($F58, "" ""), LEFT($F58, (FIND("" "", $F58, 1) - 1)), 0)), VALUE(IF(REGEXMATCH($H58, "" ""), LEFT($H58, (FIND("" "", $H58, 1) - 1)), 0)), VALUE(IF(REGEXMATCH($J58, "" ""), LEFT($J58, (FIND("" "", $J58, 1) - 1)), 0)), VALUE(IF(REGEX"&amp;"MATCH($L58, "" ""), LEFT($L58, (FIND("" "", $L58, 1) - 1)), 0)), VALUE(IF(REGEXMATCH($N58, "" ""), LEFT($N58, (FIND("" "", $N58, 1) - 1)), 0)), VALUE(IF(REGEXMATCH($P58, "" ""), LEFT($P58, (FIND("" "", $P58, 1) - 1)), 0)), VALUE(IF(REGEXMATCH($R58, "" "")"&amp;", LEFT($R58, (FIND("" "", $R58, 1) - 1)), 0)), VALUE(IF(REGEXMATCH($T58, "" ""), LEFT($T58, (FIND("" "", $T58, 1) - 1)), 0)), VALUE(IF(REGEXMATCH($V58, "" ""), LEFT($V58, (FIND("" "", $V58, 1) - 1)), 0)))"),0.0)</f>
        <v>0</v>
      </c>
      <c r="X58" s="17">
        <f t="shared" si="1"/>
        <v>0</v>
      </c>
    </row>
    <row r="59">
      <c r="A59" s="13">
        <v>60.0</v>
      </c>
      <c r="B59" s="13">
        <v>1.6011873318E11</v>
      </c>
      <c r="C59" s="14" t="s">
        <v>359</v>
      </c>
      <c r="D59" s="30" t="s">
        <v>21</v>
      </c>
      <c r="E59" s="14" t="s">
        <v>360</v>
      </c>
      <c r="F59" s="14" t="s">
        <v>361</v>
      </c>
      <c r="G59" s="14" t="s">
        <v>108</v>
      </c>
      <c r="H59" s="14" t="s">
        <v>109</v>
      </c>
      <c r="I59" s="14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>
        <f>IFERROR(__xludf.DUMMYFUNCTION("MAX(VALUE(IF(REGEXMATCH($F59, "" ""), LEFT($F59, (FIND("" "", $F59, 1) - 1)), 0)), VALUE(IF(REGEXMATCH($H59, "" ""), LEFT($H59, (FIND("" "", $H59, 1) - 1)), 0)), VALUE(IF(REGEXMATCH($J59, "" ""), LEFT($J59, (FIND("" "", $J59, 1) - 1)), 0)), VALUE(IF(REGEX"&amp;"MATCH($L59, "" ""), LEFT($L59, (FIND("" "", $L59, 1) - 1)), 0)), VALUE(IF(REGEXMATCH($N59, "" ""), LEFT($N59, (FIND("" "", $N59, 1) - 1)), 0)), VALUE(IF(REGEXMATCH($P59, "" ""), LEFT($P59, (FIND("" "", $P59, 1) - 1)), 0)), VALUE(IF(REGEXMATCH($R59, "" "")"&amp;", LEFT($R59, (FIND("" "", $R59, 1) - 1)), 0)), VALUE(IF(REGEXMATCH($T59, "" ""), LEFT($T59, (FIND("" "", $T59, 1) - 1)), 0)), VALUE(IF(REGEXMATCH($V59, "" ""), LEFT($V59, (FIND("" "", $V59, 1) - 1)), 0)))"),0.0)</f>
        <v>0</v>
      </c>
      <c r="X59" s="17">
        <f t="shared" si="1"/>
        <v>0</v>
      </c>
    </row>
    <row r="60">
      <c r="A60" s="13">
        <v>61.0</v>
      </c>
      <c r="B60" s="43">
        <v>1.60118733185E11</v>
      </c>
      <c r="C60" s="31" t="s">
        <v>362</v>
      </c>
      <c r="D60" s="34" t="s">
        <v>21</v>
      </c>
      <c r="E60" s="16" t="s">
        <v>44</v>
      </c>
      <c r="F60" s="16" t="s">
        <v>42</v>
      </c>
      <c r="G60" s="16" t="s">
        <v>65</v>
      </c>
      <c r="H60" s="16" t="s">
        <v>66</v>
      </c>
      <c r="I60" s="16" t="s">
        <v>45</v>
      </c>
      <c r="J60" s="16" t="s">
        <v>46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7">
        <f>IFERROR(__xludf.DUMMYFUNCTION("MAX(VALUE(IF(REGEXMATCH($F60, "" ""), LEFT($F60, (FIND("" "", $F60, 1) - 1)), 0)), VALUE(IF(REGEXMATCH($H60, "" ""), LEFT($H60, (FIND("" "", $H60, 1) - 1)), 0)), VALUE(IF(REGEXMATCH($J60, "" ""), LEFT($J60, (FIND("" "", $J60, 1) - 1)), 0)), VALUE(IF(REGEX"&amp;"MATCH($L60, "" ""), LEFT($L60, (FIND("" "", $L60, 1) - 1)), 0)), VALUE(IF(REGEXMATCH($N60, "" ""), LEFT($N60, (FIND("" "", $N60, 1) - 1)), 0)), VALUE(IF(REGEXMATCH($P60, "" ""), LEFT($P60, (FIND("" "", $P60, 1) - 1)), 0)), VALUE(IF(REGEXMATCH($R60, "" "")"&amp;", LEFT($R60, (FIND("" "", $R60, 1) - 1)), 0)), VALUE(IF(REGEXMATCH($T60, "" ""), LEFT($T60, (FIND("" "", $T60, 1) - 1)), 0)), VALUE(IF(REGEXMATCH($V60, "" ""), LEFT($V60, (FIND("" "", $V60, 1) - 1)), 0)))"),14.0)</f>
        <v>14</v>
      </c>
      <c r="X60" s="17">
        <f t="shared" si="1"/>
        <v>17.5</v>
      </c>
    </row>
    <row r="61">
      <c r="A61" s="13">
        <v>62.0</v>
      </c>
      <c r="B61" s="43">
        <v>1.60118733186E11</v>
      </c>
      <c r="C61" s="31" t="s">
        <v>363</v>
      </c>
      <c r="D61" s="30" t="s">
        <v>21</v>
      </c>
      <c r="E61" s="14" t="s">
        <v>27</v>
      </c>
      <c r="F61" s="14" t="s">
        <v>28</v>
      </c>
      <c r="G61" s="14" t="s">
        <v>48</v>
      </c>
      <c r="H61" s="16" t="s">
        <v>25</v>
      </c>
      <c r="I61" s="18" t="s">
        <v>364</v>
      </c>
      <c r="J61" s="18" t="s">
        <v>142</v>
      </c>
      <c r="K61" s="16" t="s">
        <v>49</v>
      </c>
      <c r="L61" s="16" t="s">
        <v>30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>
        <f>IFERROR(__xludf.DUMMYFUNCTION("MAX(VALUE(IF(REGEXMATCH($F61, "" ""), LEFT($F61, (FIND("" "", $F61, 1) - 1)), 0)), VALUE(IF(REGEXMATCH($H61, "" ""), LEFT($H61, (FIND("" "", $H61, 1) - 1)), 0)), VALUE(IF(REGEXMATCH($J61, "" ""), LEFT($J61, (FIND("" "", $J61, 1) - 1)), 0)), VALUE(IF(REGEX"&amp;"MATCH($L61, "" ""), LEFT($L61, (FIND("" "", $L61, 1) - 1)), 0)), VALUE(IF(REGEXMATCH($N61, "" ""), LEFT($N61, (FIND("" "", $N61, 1) - 1)), 0)), VALUE(IF(REGEXMATCH($P61, "" ""), LEFT($P61, (FIND("" "", $P61, 1) - 1)), 0)), VALUE(IF(REGEXMATCH($R61, "" "")"&amp;", LEFT($R61, (FIND("" "", $R61, 1) - 1)), 0)), VALUE(IF(REGEXMATCH($T61, "" ""), LEFT($T61, (FIND("" "", $T61, 1) - 1)), 0)), VALUE(IF(REGEXMATCH($V61, "" ""), LEFT($V61, (FIND("" "", $V61, 1) - 1)), 0)))"),7.5)</f>
        <v>7.5</v>
      </c>
      <c r="X61" s="17">
        <f t="shared" si="1"/>
        <v>9.375</v>
      </c>
      <c r="Y61" s="21"/>
      <c r="Z61" s="21"/>
      <c r="AA61" s="21"/>
      <c r="AB61" s="21"/>
    </row>
    <row r="62">
      <c r="A62" s="13">
        <v>63.0</v>
      </c>
      <c r="B62" s="43">
        <v>1.60118733313E11</v>
      </c>
      <c r="C62" s="31" t="s">
        <v>365</v>
      </c>
      <c r="D62" s="30" t="s">
        <v>21</v>
      </c>
      <c r="E62" s="14" t="s">
        <v>197</v>
      </c>
      <c r="F62" s="14" t="s">
        <v>25</v>
      </c>
      <c r="G62" s="14" t="s">
        <v>33</v>
      </c>
      <c r="H62" s="14" t="s">
        <v>34</v>
      </c>
      <c r="I62" s="14" t="s">
        <v>184</v>
      </c>
      <c r="J62" s="16" t="s">
        <v>131</v>
      </c>
      <c r="K62" s="16" t="s">
        <v>185</v>
      </c>
      <c r="L62" s="16" t="s">
        <v>186</v>
      </c>
      <c r="M62" s="18" t="s">
        <v>35</v>
      </c>
      <c r="N62" s="18" t="s">
        <v>36</v>
      </c>
      <c r="O62" s="18" t="s">
        <v>50</v>
      </c>
      <c r="P62" s="18" t="s">
        <v>51</v>
      </c>
      <c r="Q62" s="16"/>
      <c r="R62" s="16"/>
      <c r="S62" s="16"/>
      <c r="T62" s="16"/>
      <c r="U62" s="16"/>
      <c r="V62" s="16"/>
      <c r="W62" s="17">
        <f>IFERROR(__xludf.DUMMYFUNCTION("MAX(VALUE(IF(REGEXMATCH($F62, "" ""), LEFT($F62, (FIND("" "", $F62, 1) - 1)), 0)), VALUE(IF(REGEXMATCH($H62, "" ""), LEFT($H62, (FIND("" "", $H62, 1) - 1)), 0)), VALUE(IF(REGEXMATCH($J62, "" ""), LEFT($J62, (FIND("" "", $J62, 1) - 1)), 0)), VALUE(IF(REGEX"&amp;"MATCH($L62, "" ""), LEFT($L62, (FIND("" "", $L62, 1) - 1)), 0)), VALUE(IF(REGEXMATCH($N62, "" ""), LEFT($N62, (FIND("" "", $N62, 1) - 1)), 0)), VALUE(IF(REGEXMATCH($P62, "" ""), LEFT($P62, (FIND("" "", $P62, 1) - 1)), 0)), VALUE(IF(REGEXMATCH($R62, "" "")"&amp;", LEFT($R62, (FIND("" "", $R62, 1) - 1)), 0)), VALUE(IF(REGEXMATCH($T62, "" ""), LEFT($T62, (FIND("" "", $T62, 1) - 1)), 0)), VALUE(IF(REGEXMATCH($V62, "" ""), LEFT($V62, (FIND("" "", $V62, 1) - 1)), 0)))"),10.4)</f>
        <v>10.4</v>
      </c>
      <c r="X62" s="17">
        <f t="shared" si="1"/>
        <v>13</v>
      </c>
    </row>
    <row r="63">
      <c r="A63" s="13">
        <v>64.0</v>
      </c>
      <c r="B63" s="43">
        <v>1.60118733314E11</v>
      </c>
      <c r="C63" s="31" t="s">
        <v>366</v>
      </c>
      <c r="D63" s="30" t="s">
        <v>21</v>
      </c>
      <c r="E63" s="14" t="s">
        <v>27</v>
      </c>
      <c r="F63" s="14" t="s">
        <v>28</v>
      </c>
      <c r="G63" s="14" t="s">
        <v>38</v>
      </c>
      <c r="H63" s="14" t="s">
        <v>39</v>
      </c>
      <c r="I63" s="14" t="s">
        <v>48</v>
      </c>
      <c r="J63" s="14" t="s">
        <v>25</v>
      </c>
      <c r="K63" s="14" t="s">
        <v>33</v>
      </c>
      <c r="L63" s="16" t="s">
        <v>34</v>
      </c>
      <c r="M63" s="18" t="s">
        <v>35</v>
      </c>
      <c r="N63" s="18" t="s">
        <v>36</v>
      </c>
      <c r="O63" s="16"/>
      <c r="P63" s="16"/>
      <c r="Q63" s="16"/>
      <c r="R63" s="16"/>
      <c r="S63" s="16"/>
      <c r="T63" s="16"/>
      <c r="U63" s="16"/>
      <c r="V63" s="16"/>
      <c r="W63" s="17">
        <f>IFERROR(__xludf.DUMMYFUNCTION("MAX(VALUE(IF(REGEXMATCH($F63, "" ""), LEFT($F63, (FIND("" "", $F63, 1) - 1)), 0)), VALUE(IF(REGEXMATCH($H63, "" ""), LEFT($H63, (FIND("" "", $H63, 1) - 1)), 0)), VALUE(IF(REGEXMATCH($J63, "" ""), LEFT($J63, (FIND("" "", $J63, 1) - 1)), 0)), VALUE(IF(REGEX"&amp;"MATCH($L63, "" ""), LEFT($L63, (FIND("" "", $L63, 1) - 1)), 0)), VALUE(IF(REGEXMATCH($N63, "" ""), LEFT($N63, (FIND("" "", $N63, 1) - 1)), 0)), VALUE(IF(REGEXMATCH($P63, "" ""), LEFT($P63, (FIND("" "", $P63, 1) - 1)), 0)), VALUE(IF(REGEXMATCH($R63, "" "")"&amp;", LEFT($R63, (FIND("" "", $R63, 1) - 1)), 0)), VALUE(IF(REGEXMATCH($T63, "" ""), LEFT($T63, (FIND("" "", $T63, 1) - 1)), 0)), VALUE(IF(REGEXMATCH($V63, "" ""), LEFT($V63, (FIND("" "", $V63, 1) - 1)), 0)))"),8.5)</f>
        <v>8.5</v>
      </c>
      <c r="X63" s="17">
        <f t="shared" si="1"/>
        <v>10.625</v>
      </c>
    </row>
    <row r="64">
      <c r="A64" s="13">
        <v>65.0</v>
      </c>
      <c r="B64" s="43">
        <v>1.60118733315E11</v>
      </c>
      <c r="C64" s="31" t="s">
        <v>367</v>
      </c>
      <c r="D64" s="30" t="s">
        <v>21</v>
      </c>
      <c r="E64" s="14" t="s">
        <v>44</v>
      </c>
      <c r="F64" s="14" t="s">
        <v>42</v>
      </c>
      <c r="G64" s="14" t="s">
        <v>130</v>
      </c>
      <c r="H64" s="14" t="s">
        <v>131</v>
      </c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7">
        <f>IFERROR(__xludf.DUMMYFUNCTION("MAX(VALUE(IF(REGEXMATCH($F64, "" ""), LEFT($F64, (FIND("" "", $F64, 1) - 1)), 0)), VALUE(IF(REGEXMATCH($H64, "" ""), LEFT($H64, (FIND("" "", $H64, 1) - 1)), 0)), VALUE(IF(REGEXMATCH($J64, "" ""), LEFT($J64, (FIND("" "", $J64, 1) - 1)), 0)), VALUE(IF(REGEX"&amp;"MATCH($L64, "" ""), LEFT($L64, (FIND("" "", $L64, 1) - 1)), 0)), VALUE(IF(REGEXMATCH($N64, "" ""), LEFT($N64, (FIND("" "", $N64, 1) - 1)), 0)), VALUE(IF(REGEXMATCH($P64, "" ""), LEFT($P64, (FIND("" "", $P64, 1) - 1)), 0)), VALUE(IF(REGEXMATCH($R64, "" "")"&amp;", LEFT($R64, (FIND("" "", $R64, 1) - 1)), 0)), VALUE(IF(REGEXMATCH($T64, "" ""), LEFT($T64, (FIND("" "", $T64, 1) - 1)), 0)), VALUE(IF(REGEXMATCH($V64, "" ""), LEFT($V64, (FIND("" "", $V64, 1) - 1)), 0)))"),14.0)</f>
        <v>14</v>
      </c>
      <c r="X64" s="17">
        <f t="shared" si="1"/>
        <v>17.5</v>
      </c>
    </row>
    <row r="65">
      <c r="A65" s="13">
        <v>66.0</v>
      </c>
      <c r="B65" s="43">
        <v>1.60118733316E11</v>
      </c>
      <c r="C65" s="31" t="s">
        <v>368</v>
      </c>
      <c r="D65" s="15"/>
      <c r="E65" s="14" t="s">
        <v>330</v>
      </c>
      <c r="F65" s="14" t="s">
        <v>331</v>
      </c>
      <c r="G65" s="14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>
        <f>IFERROR(__xludf.DUMMYFUNCTION("MAX(VALUE(IF(REGEXMATCH($F65, "" ""), LEFT($F65, (FIND("" "", $F65, 1) - 1)), 0)), VALUE(IF(REGEXMATCH($H65, "" ""), LEFT($H65, (FIND("" "", $H65, 1) - 1)), 0)), VALUE(IF(REGEXMATCH($J65, "" ""), LEFT($J65, (FIND("" "", $J65, 1) - 1)), 0)), VALUE(IF(REGEX"&amp;"MATCH($L65, "" ""), LEFT($L65, (FIND("" "", $L65, 1) - 1)), 0)), VALUE(IF(REGEXMATCH($N65, "" ""), LEFT($N65, (FIND("" "", $N65, 1) - 1)), 0)), VALUE(IF(REGEXMATCH($P65, "" ""), LEFT($P65, (FIND("" "", $P65, 1) - 1)), 0)), VALUE(IF(REGEXMATCH($R65, "" "")"&amp;", LEFT($R65, (FIND("" "", $R65, 1) - 1)), 0)), VALUE(IF(REGEXMATCH($T65, "" ""), LEFT($T65, (FIND("" "", $T65, 1) - 1)), 0)), VALUE(IF(REGEXMATCH($V65, "" ""), LEFT($V65, (FIND("" "", $V65, 1) - 1)), 0)))"),3.8)</f>
        <v>3.8</v>
      </c>
      <c r="X65" s="17">
        <f t="shared" si="1"/>
        <v>4.75</v>
      </c>
    </row>
    <row r="66">
      <c r="A66" s="13">
        <v>67.0</v>
      </c>
      <c r="B66" s="43">
        <v>1.60118733317E11</v>
      </c>
      <c r="C66" s="31" t="s">
        <v>369</v>
      </c>
      <c r="D66" s="30" t="s">
        <v>21</v>
      </c>
      <c r="E66" s="14" t="s">
        <v>48</v>
      </c>
      <c r="F66" s="14" t="s">
        <v>25</v>
      </c>
      <c r="G66" s="14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>
        <f>IFERROR(__xludf.DUMMYFUNCTION("MAX(VALUE(IF(REGEXMATCH($F66, "" ""), LEFT($F66, (FIND("" "", $F66, 1) - 1)), 0)), VALUE(IF(REGEXMATCH($H66, "" ""), LEFT($H66, (FIND("" "", $H66, 1) - 1)), 0)), VALUE(IF(REGEXMATCH($J66, "" ""), LEFT($J66, (FIND("" "", $J66, 1) - 1)), 0)), VALUE(IF(REGEX"&amp;"MATCH($L66, "" ""), LEFT($L66, (FIND("" "", $L66, 1) - 1)), 0)), VALUE(IF(REGEXMATCH($N66, "" ""), LEFT($N66, (FIND("" "", $N66, 1) - 1)), 0)), VALUE(IF(REGEXMATCH($P66, "" ""), LEFT($P66, (FIND("" "", $P66, 1) - 1)), 0)), VALUE(IF(REGEXMATCH($R66, "" "")"&amp;", LEFT($R66, (FIND("" "", $R66, 1) - 1)), 0)), VALUE(IF(REGEXMATCH($T66, "" ""), LEFT($T66, (FIND("" "", $T66, 1) - 1)), 0)), VALUE(IF(REGEXMATCH($V66, "" ""), LEFT($V66, (FIND("" "", $V66, 1) - 1)), 0)))"),4.0)</f>
        <v>4</v>
      </c>
      <c r="X66" s="17">
        <f t="shared" si="1"/>
        <v>5</v>
      </c>
    </row>
    <row r="67">
      <c r="A67" s="13">
        <v>68.0</v>
      </c>
      <c r="B67" s="43">
        <v>1.60118733318E11</v>
      </c>
      <c r="C67" s="31" t="s">
        <v>370</v>
      </c>
      <c r="D67" s="15"/>
      <c r="E67" s="18" t="s">
        <v>371</v>
      </c>
      <c r="F67" s="18" t="s">
        <v>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7">
        <f>IFERROR(__xludf.DUMMYFUNCTION("MAX(VALUE(IF(REGEXMATCH($F67, "" ""), LEFT($F67, (FIND("" "", $F67, 1) - 1)), 0)), VALUE(IF(REGEXMATCH($H67, "" ""), LEFT($H67, (FIND("" "", $H67, 1) - 1)), 0)), VALUE(IF(REGEXMATCH($J67, "" ""), LEFT($J67, (FIND("" "", $J67, 1) - 1)), 0)), VALUE(IF(REGEX"&amp;"MATCH($L67, "" ""), LEFT($L67, (FIND("" "", $L67, 1) - 1)), 0)), VALUE(IF(REGEXMATCH($N67, "" ""), LEFT($N67, (FIND("" "", $N67, 1) - 1)), 0)), VALUE(IF(REGEXMATCH($P67, "" ""), LEFT($P67, (FIND("" "", $P67, 1) - 1)), 0)), VALUE(IF(REGEXMATCH($R67, "" "")"&amp;", LEFT($R67, (FIND("" "", $R67, 1) - 1)), 0)), VALUE(IF(REGEXMATCH($T67, "" ""), LEFT($T67, (FIND("" "", $T67, 1) - 1)), 0)), VALUE(IF(REGEXMATCH($V67, "" ""), LEFT($V67, (FIND("" "", $V67, 1) - 1)), 0)))"),4.0)</f>
        <v>4</v>
      </c>
      <c r="X67" s="17">
        <f t="shared" si="1"/>
        <v>5</v>
      </c>
    </row>
    <row r="68">
      <c r="A68" s="13">
        <v>69.0</v>
      </c>
      <c r="B68" s="43">
        <v>1.60117733335E11</v>
      </c>
      <c r="C68" s="31" t="s">
        <v>372</v>
      </c>
      <c r="D68" s="15"/>
      <c r="E68" s="1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>
        <f>IFERROR(__xludf.DUMMYFUNCTION("MAX(VALUE(IF(REGEXMATCH($F68, "" ""), LEFT($F68, (FIND("" "", $F68, 1) - 1)), 0)), VALUE(IF(REGEXMATCH($H68, "" ""), LEFT($H68, (FIND("" "", $H68, 1) - 1)), 0)), VALUE(IF(REGEXMATCH($J68, "" ""), LEFT($J68, (FIND("" "", $J68, 1) - 1)), 0)), VALUE(IF(REGEX"&amp;"MATCH($L68, "" ""), LEFT($L68, (FIND("" "", $L68, 1) - 1)), 0)), VALUE(IF(REGEXMATCH($N68, "" ""), LEFT($N68, (FIND("" "", $N68, 1) - 1)), 0)), VALUE(IF(REGEXMATCH($P68, "" ""), LEFT($P68, (FIND("" "", $P68, 1) - 1)), 0)), VALUE(IF(REGEXMATCH($R68, "" "")"&amp;", LEFT($R68, (FIND("" "", $R68, 1) - 1)), 0)), VALUE(IF(REGEXMATCH($T68, "" ""), LEFT($T68, (FIND("" "", $T68, 1) - 1)), 0)), VALUE(IF(REGEXMATCH($V68, "" ""), LEFT($V68, (FIND("" "", $V68, 1) - 1)), 0)))"),0.0)</f>
        <v>0</v>
      </c>
      <c r="X68" s="17">
        <f t="shared" si="1"/>
        <v>0</v>
      </c>
    </row>
    <row r="69">
      <c r="A69" s="13">
        <v>70.0</v>
      </c>
      <c r="B69" s="43">
        <v>1.60117733168E11</v>
      </c>
      <c r="C69" s="31" t="s">
        <v>373</v>
      </c>
      <c r="D69" s="20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>
        <f>IFERROR(__xludf.DUMMYFUNCTION("MAX(VALUE(IF(REGEXMATCH($F69, "" ""), LEFT($F69, (FIND("" "", $F69, 1) - 1)), 0)), VALUE(IF(REGEXMATCH($H69, "" ""), LEFT($H69, (FIND("" "", $H69, 1) - 1)), 0)), VALUE(IF(REGEXMATCH($J69, "" ""), LEFT($J69, (FIND("" "", $J69, 1) - 1)), 0)), VALUE(IF(REGEX"&amp;"MATCH($L69, "" ""), LEFT($L69, (FIND("" "", $L69, 1) - 1)), 0)), VALUE(IF(REGEXMATCH($N69, "" ""), LEFT($N69, (FIND("" "", $N69, 1) - 1)), 0)), VALUE(IF(REGEXMATCH($P69, "" ""), LEFT($P69, (FIND("" "", $P69, 1) - 1)), 0)), VALUE(IF(REGEXMATCH($R69, "" "")"&amp;", LEFT($R69, (FIND("" "", $R69, 1) - 1)), 0)), VALUE(IF(REGEXMATCH($T69, "" ""), LEFT($T69, (FIND("" "", $T69, 1) - 1)), 0)), VALUE(IF(REGEXMATCH($V69, "" ""), LEFT($V69, (FIND("" "", $V69, 1) - 1)), 0)))"),0.0)</f>
        <v>0</v>
      </c>
      <c r="X69" s="17">
        <f t="shared" si="1"/>
        <v>0</v>
      </c>
    </row>
    <row r="70">
      <c r="A70" s="13">
        <v>71.0</v>
      </c>
      <c r="B70" s="43">
        <v>1.60117733177E11</v>
      </c>
      <c r="C70" s="31" t="s">
        <v>374</v>
      </c>
      <c r="D70" s="20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7">
        <f>IFERROR(__xludf.DUMMYFUNCTION("MAX(VALUE(IF(REGEXMATCH($F70, "" ""), LEFT($F70, (FIND("" "", $F70, 1) - 1)), 0)), VALUE(IF(REGEXMATCH($H70, "" ""), LEFT($H70, (FIND("" "", $H70, 1) - 1)), 0)), VALUE(IF(REGEXMATCH($J70, "" ""), LEFT($J70, (FIND("" "", $J70, 1) - 1)), 0)), VALUE(IF(REGEX"&amp;"MATCH($L70, "" ""), LEFT($L70, (FIND("" "", $L70, 1) - 1)), 0)), VALUE(IF(REGEXMATCH($N70, "" ""), LEFT($N70, (FIND("" "", $N70, 1) - 1)), 0)), VALUE(IF(REGEXMATCH($P70, "" ""), LEFT($P70, (FIND("" "", $P70, 1) - 1)), 0)), VALUE(IF(REGEXMATCH($R70, "" "")"&amp;", LEFT($R70, (FIND("" "", $R70, 1) - 1)), 0)), VALUE(IF(REGEXMATCH($T70, "" ""), LEFT($T70, (FIND("" "", $T70, 1) - 1)), 0)), VALUE(IF(REGEXMATCH($V70, "" ""), LEFT($V70, (FIND("" "", $V70, 1) - 1)), 0)))"),0.0)</f>
        <v>0</v>
      </c>
      <c r="X70" s="17">
        <f t="shared" si="1"/>
        <v>0</v>
      </c>
    </row>
    <row r="71">
      <c r="A71" s="22"/>
      <c r="B71" s="22"/>
      <c r="C71" s="14"/>
      <c r="D71" s="20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>
      <c r="A72" s="22"/>
      <c r="B72" s="22"/>
      <c r="C72" s="24" t="s">
        <v>174</v>
      </c>
      <c r="D72" s="20">
        <f>COUNTA(E2:E70)</f>
        <v>57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>
      <c r="A73" s="23"/>
      <c r="B73" s="23"/>
      <c r="C73" s="23"/>
      <c r="D73" s="38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>
      <c r="A74" s="23"/>
      <c r="B74" s="23"/>
      <c r="C74" s="23"/>
      <c r="D74" s="38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>
      <c r="A75" s="23"/>
      <c r="B75" s="23"/>
      <c r="C75" s="23"/>
      <c r="D75" s="38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>
      <c r="A76" s="23"/>
      <c r="B76" s="23"/>
      <c r="C76" s="23"/>
      <c r="D76" s="38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>
      <c r="A77" s="23"/>
      <c r="B77" s="23"/>
      <c r="C77" s="23"/>
      <c r="D77" s="38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  <row r="1001">
      <c r="D1001" s="40"/>
    </row>
    <row r="1002">
      <c r="D1002" s="40"/>
    </row>
    <row r="1003">
      <c r="D1003" s="40"/>
    </row>
    <row r="1004">
      <c r="D1004" s="40"/>
    </row>
    <row r="1005">
      <c r="D1005" s="40"/>
    </row>
    <row r="1006">
      <c r="D1006" s="40"/>
    </row>
    <row r="1007">
      <c r="D1007" s="40"/>
    </row>
    <row r="1008">
      <c r="D1008" s="40"/>
    </row>
    <row r="1009">
      <c r="D1009" s="40"/>
    </row>
    <row r="1010">
      <c r="D1010" s="40"/>
    </row>
    <row r="1011">
      <c r="D1011" s="40"/>
    </row>
    <row r="1012">
      <c r="D1012" s="40"/>
    </row>
    <row r="1013">
      <c r="D1013" s="40"/>
    </row>
    <row r="1014">
      <c r="D1014" s="40"/>
    </row>
    <row r="1015">
      <c r="D1015" s="40"/>
    </row>
    <row r="1016">
      <c r="D1016" s="40"/>
    </row>
    <row r="1017">
      <c r="D1017" s="40"/>
    </row>
    <row r="1018">
      <c r="D1018" s="40"/>
    </row>
    <row r="1019">
      <c r="D1019" s="40"/>
    </row>
    <row r="1020">
      <c r="D1020" s="40"/>
    </row>
    <row r="1021">
      <c r="D1021" s="40"/>
    </row>
    <row r="1022">
      <c r="D1022" s="40"/>
    </row>
    <row r="1023">
      <c r="D1023" s="40"/>
    </row>
    <row r="1024">
      <c r="D1024" s="40"/>
    </row>
    <row r="1025">
      <c r="D1025" s="40"/>
    </row>
    <row r="1026">
      <c r="D1026" s="40"/>
    </row>
    <row r="1027">
      <c r="D1027" s="40"/>
    </row>
    <row r="1028">
      <c r="D1028" s="40"/>
    </row>
    <row r="1029">
      <c r="D1029" s="40"/>
    </row>
    <row r="1030">
      <c r="D1030" s="40"/>
    </row>
    <row r="1031">
      <c r="D1031" s="40"/>
    </row>
    <row r="1032">
      <c r="D1032" s="40"/>
    </row>
    <row r="1033">
      <c r="D1033" s="40"/>
    </row>
    <row r="1034">
      <c r="D1034" s="40"/>
    </row>
    <row r="1035">
      <c r="D1035" s="40"/>
    </row>
    <row r="1036">
      <c r="D1036" s="40"/>
    </row>
    <row r="1037">
      <c r="D1037" s="40"/>
    </row>
    <row r="1038">
      <c r="D1038" s="40"/>
    </row>
    <row r="1039">
      <c r="D1039" s="40"/>
    </row>
    <row r="1040">
      <c r="D1040" s="40"/>
    </row>
    <row r="1041">
      <c r="D1041" s="40"/>
    </row>
    <row r="1042">
      <c r="D1042" s="40"/>
    </row>
    <row r="1043">
      <c r="D1043" s="40"/>
    </row>
    <row r="1044">
      <c r="D1044" s="40"/>
    </row>
    <row r="1045">
      <c r="D1045" s="40"/>
    </row>
    <row r="1046">
      <c r="D1046" s="40"/>
    </row>
    <row r="1047">
      <c r="D1047" s="40"/>
    </row>
    <row r="1048">
      <c r="D1048" s="40"/>
    </row>
    <row r="1049">
      <c r="D1049" s="40"/>
    </row>
    <row r="1050">
      <c r="D1050" s="40"/>
    </row>
    <row r="1051">
      <c r="D1051" s="40"/>
    </row>
    <row r="1052">
      <c r="D1052" s="40"/>
    </row>
    <row r="1053">
      <c r="D1053" s="40"/>
    </row>
    <row r="1054">
      <c r="D1054" s="40"/>
    </row>
    <row r="1055">
      <c r="D1055" s="40"/>
    </row>
    <row r="1056">
      <c r="D1056" s="40"/>
    </row>
    <row r="1057">
      <c r="D1057" s="40"/>
    </row>
    <row r="1058">
      <c r="D1058" s="40"/>
    </row>
    <row r="1059">
      <c r="D1059" s="40"/>
    </row>
    <row r="1060">
      <c r="D1060" s="40"/>
    </row>
    <row r="1061">
      <c r="D1061" s="40"/>
    </row>
    <row r="1062">
      <c r="D1062" s="40"/>
    </row>
    <row r="1063">
      <c r="D1063" s="40"/>
    </row>
    <row r="1064">
      <c r="D1064" s="40"/>
    </row>
    <row r="1065">
      <c r="D1065" s="40"/>
    </row>
    <row r="1066">
      <c r="D1066" s="40"/>
    </row>
    <row r="1067">
      <c r="D1067" s="40"/>
    </row>
    <row r="1068">
      <c r="D1068" s="40"/>
    </row>
    <row r="1069">
      <c r="D1069" s="40"/>
    </row>
    <row r="1070">
      <c r="D1070" s="40"/>
    </row>
    <row r="1071">
      <c r="D1071" s="40"/>
    </row>
    <row r="1072">
      <c r="D1072" s="40"/>
    </row>
    <row r="1073">
      <c r="D1073" s="40"/>
    </row>
    <row r="1074">
      <c r="D1074" s="40"/>
    </row>
    <row r="1075">
      <c r="D1075" s="40"/>
    </row>
    <row r="1076">
      <c r="D1076" s="40"/>
    </row>
    <row r="1077">
      <c r="D1077" s="40"/>
    </row>
    <row r="1078">
      <c r="D1078" s="40"/>
    </row>
    <row r="1079">
      <c r="D1079" s="40"/>
    </row>
    <row r="1080">
      <c r="D1080" s="40"/>
    </row>
    <row r="1081">
      <c r="D1081" s="40"/>
    </row>
    <row r="1082">
      <c r="D1082" s="40"/>
    </row>
    <row r="1083">
      <c r="D1083" s="40"/>
    </row>
    <row r="1084">
      <c r="D1084" s="40"/>
    </row>
    <row r="1085">
      <c r="D1085" s="40"/>
    </row>
    <row r="1086">
      <c r="D1086" s="40"/>
    </row>
    <row r="1087">
      <c r="D1087" s="40"/>
    </row>
    <row r="1088">
      <c r="D1088" s="40"/>
    </row>
    <row r="1089">
      <c r="D1089" s="40"/>
    </row>
    <row r="1090">
      <c r="D1090" s="40"/>
    </row>
    <row r="1091">
      <c r="D1091" s="40"/>
    </row>
    <row r="1092">
      <c r="D1092" s="40"/>
    </row>
    <row r="1093">
      <c r="D1093" s="40"/>
    </row>
    <row r="1094">
      <c r="D1094" s="40"/>
    </row>
    <row r="1095">
      <c r="D1095" s="40"/>
    </row>
    <row r="1096">
      <c r="D1096" s="40"/>
    </row>
    <row r="1097">
      <c r="D1097" s="40"/>
    </row>
    <row r="1098">
      <c r="D1098" s="40"/>
    </row>
    <row r="1099">
      <c r="D1099" s="40"/>
    </row>
    <row r="1100">
      <c r="D1100" s="40"/>
    </row>
    <row r="1101">
      <c r="D1101" s="40"/>
    </row>
    <row r="1102">
      <c r="D1102" s="40"/>
    </row>
    <row r="1103">
      <c r="D1103" s="40"/>
    </row>
    <row r="1104">
      <c r="D1104" s="40"/>
    </row>
    <row r="1105">
      <c r="D1105" s="40"/>
    </row>
    <row r="1106">
      <c r="D1106" s="40"/>
    </row>
    <row r="1107">
      <c r="D1107" s="40"/>
    </row>
    <row r="1108">
      <c r="D1108" s="40"/>
    </row>
    <row r="1109">
      <c r="D1109" s="40"/>
    </row>
    <row r="1110">
      <c r="D1110" s="40"/>
    </row>
    <row r="1111">
      <c r="D1111" s="40"/>
    </row>
    <row r="1112">
      <c r="D1112" s="40"/>
    </row>
    <row r="1113">
      <c r="D1113" s="40"/>
    </row>
    <row r="1114">
      <c r="D1114" s="40"/>
    </row>
    <row r="1115">
      <c r="D1115" s="40"/>
    </row>
    <row r="1116">
      <c r="D1116" s="40"/>
    </row>
    <row r="1117">
      <c r="D1117" s="40"/>
    </row>
    <row r="1118">
      <c r="D1118" s="40"/>
    </row>
    <row r="1119">
      <c r="D1119" s="40"/>
    </row>
    <row r="1120">
      <c r="D1120" s="40"/>
    </row>
    <row r="1121">
      <c r="D1121" s="40"/>
    </row>
    <row r="1122">
      <c r="D1122" s="40"/>
    </row>
    <row r="1123">
      <c r="D1123" s="40"/>
    </row>
    <row r="1124">
      <c r="D1124" s="40"/>
    </row>
    <row r="1125">
      <c r="D1125" s="40"/>
    </row>
    <row r="1126">
      <c r="D1126" s="40"/>
    </row>
    <row r="1127">
      <c r="D1127" s="40"/>
    </row>
    <row r="1128">
      <c r="D1128" s="40"/>
    </row>
    <row r="1129">
      <c r="D1129" s="40"/>
    </row>
    <row r="1130">
      <c r="D1130" s="40"/>
    </row>
    <row r="1131">
      <c r="D1131" s="40"/>
    </row>
    <row r="1132">
      <c r="D1132" s="40"/>
    </row>
    <row r="1133">
      <c r="D1133" s="40"/>
    </row>
    <row r="1134">
      <c r="D1134" s="40"/>
    </row>
    <row r="1135">
      <c r="D1135" s="40"/>
    </row>
    <row r="1136">
      <c r="D1136" s="40"/>
    </row>
    <row r="1137">
      <c r="D1137" s="40"/>
    </row>
    <row r="1138">
      <c r="D1138" s="40"/>
    </row>
    <row r="1139">
      <c r="D1139" s="40"/>
    </row>
    <row r="1140">
      <c r="D1140" s="40"/>
    </row>
    <row r="1141">
      <c r="D1141" s="40"/>
    </row>
    <row r="1142">
      <c r="D1142" s="40"/>
    </row>
    <row r="1143">
      <c r="D1143" s="40"/>
    </row>
    <row r="1144">
      <c r="D1144" s="40"/>
    </row>
    <row r="1145">
      <c r="D1145" s="40"/>
    </row>
    <row r="1146">
      <c r="D1146" s="40"/>
    </row>
    <row r="1147">
      <c r="D1147" s="40"/>
    </row>
    <row r="1148">
      <c r="D1148" s="40"/>
    </row>
    <row r="1149">
      <c r="D1149" s="40"/>
    </row>
    <row r="1150">
      <c r="D1150" s="40"/>
    </row>
    <row r="1151">
      <c r="D1151" s="40"/>
    </row>
    <row r="1152">
      <c r="D1152" s="40"/>
    </row>
    <row r="1153">
      <c r="D1153" s="40"/>
    </row>
    <row r="1154">
      <c r="D1154" s="40"/>
    </row>
    <row r="1155">
      <c r="D1155" s="40"/>
    </row>
    <row r="1156">
      <c r="D1156" s="40"/>
    </row>
    <row r="1157">
      <c r="D1157" s="40"/>
    </row>
    <row r="1158">
      <c r="D1158" s="40"/>
    </row>
    <row r="1159">
      <c r="D1159" s="40"/>
    </row>
    <row r="1160">
      <c r="D1160" s="40"/>
    </row>
    <row r="1161">
      <c r="D1161" s="40"/>
    </row>
    <row r="1162">
      <c r="D1162" s="40"/>
    </row>
    <row r="1163">
      <c r="D1163" s="40"/>
    </row>
    <row r="1164">
      <c r="D1164" s="40"/>
    </row>
    <row r="1165">
      <c r="D1165" s="40"/>
    </row>
    <row r="1166">
      <c r="D1166" s="40"/>
    </row>
    <row r="1167">
      <c r="D1167" s="40"/>
    </row>
    <row r="1168">
      <c r="D1168" s="40"/>
    </row>
    <row r="1169">
      <c r="D1169" s="40"/>
    </row>
    <row r="1170">
      <c r="D1170" s="40"/>
    </row>
    <row r="1171">
      <c r="D1171" s="40"/>
    </row>
    <row r="1172">
      <c r="D1172" s="40"/>
    </row>
    <row r="1173">
      <c r="D1173" s="40"/>
    </row>
    <row r="1174">
      <c r="D1174" s="40"/>
    </row>
    <row r="1175">
      <c r="D1175" s="40"/>
    </row>
    <row r="1176">
      <c r="D1176" s="40"/>
    </row>
    <row r="1177">
      <c r="D1177" s="40"/>
    </row>
    <row r="1178">
      <c r="D1178" s="40"/>
    </row>
    <row r="1179">
      <c r="D1179" s="40"/>
    </row>
    <row r="1180">
      <c r="D1180" s="40"/>
    </row>
    <row r="1181">
      <c r="D1181" s="40"/>
    </row>
    <row r="1182">
      <c r="D1182" s="40"/>
    </row>
    <row r="1183">
      <c r="D1183" s="40"/>
    </row>
    <row r="1184">
      <c r="D1184" s="40"/>
    </row>
    <row r="1185">
      <c r="D1185" s="40"/>
    </row>
    <row r="1186">
      <c r="D1186" s="40"/>
    </row>
    <row r="1187">
      <c r="D1187" s="40"/>
    </row>
    <row r="1188">
      <c r="D1188" s="40"/>
    </row>
    <row r="1189">
      <c r="D1189" s="40"/>
    </row>
    <row r="1190">
      <c r="D1190" s="40"/>
    </row>
    <row r="1191">
      <c r="D1191" s="40"/>
    </row>
    <row r="1192">
      <c r="D1192" s="40"/>
    </row>
    <row r="1193">
      <c r="D1193" s="40"/>
    </row>
    <row r="1194">
      <c r="D1194" s="40"/>
    </row>
    <row r="1195">
      <c r="D1195" s="40"/>
    </row>
    <row r="1196">
      <c r="D1196" s="40"/>
    </row>
    <row r="1197">
      <c r="D1197" s="40"/>
    </row>
    <row r="1198">
      <c r="D1198" s="40"/>
    </row>
    <row r="1199">
      <c r="D1199" s="40"/>
    </row>
    <row r="1200">
      <c r="D1200" s="40"/>
    </row>
    <row r="1201">
      <c r="D1201" s="40"/>
    </row>
    <row r="1202">
      <c r="D1202" s="40"/>
    </row>
    <row r="1203">
      <c r="D1203" s="40"/>
    </row>
    <row r="1204">
      <c r="D1204" s="40"/>
    </row>
    <row r="1205">
      <c r="D1205" s="40"/>
    </row>
    <row r="1206">
      <c r="D1206" s="40"/>
    </row>
    <row r="1207">
      <c r="D1207" s="40"/>
    </row>
    <row r="1208">
      <c r="D1208" s="40"/>
    </row>
    <row r="1209">
      <c r="D1209" s="40"/>
    </row>
    <row r="1210">
      <c r="D1210" s="40"/>
    </row>
    <row r="1211">
      <c r="D1211" s="40"/>
    </row>
    <row r="1212">
      <c r="D1212" s="40"/>
    </row>
    <row r="1213">
      <c r="D1213" s="40"/>
    </row>
    <row r="1214">
      <c r="D1214" s="40"/>
    </row>
    <row r="1215">
      <c r="D1215" s="40"/>
    </row>
    <row r="1216">
      <c r="D1216" s="40"/>
    </row>
    <row r="1217">
      <c r="D1217" s="40"/>
    </row>
    <row r="1218">
      <c r="D1218" s="40"/>
    </row>
    <row r="1219">
      <c r="D1219" s="40"/>
    </row>
    <row r="1220">
      <c r="D1220" s="40"/>
    </row>
    <row r="1221">
      <c r="D1221" s="40"/>
    </row>
    <row r="1222">
      <c r="D1222" s="40"/>
    </row>
    <row r="1223">
      <c r="D1223" s="40"/>
    </row>
    <row r="1224">
      <c r="D1224" s="40"/>
    </row>
    <row r="1225">
      <c r="D1225" s="40"/>
    </row>
    <row r="1226">
      <c r="D1226" s="40"/>
    </row>
    <row r="1227">
      <c r="D1227" s="40"/>
    </row>
    <row r="1228">
      <c r="D1228" s="40"/>
    </row>
    <row r="1229">
      <c r="D1229" s="40"/>
    </row>
    <row r="1230">
      <c r="D1230" s="40"/>
    </row>
    <row r="1231">
      <c r="D1231" s="40"/>
    </row>
    <row r="1232">
      <c r="D1232" s="40"/>
    </row>
    <row r="1233">
      <c r="D1233" s="40"/>
    </row>
    <row r="1234">
      <c r="D1234" s="40"/>
    </row>
    <row r="1235">
      <c r="D1235" s="40"/>
    </row>
    <row r="1236">
      <c r="D1236" s="40"/>
    </row>
    <row r="1237">
      <c r="D1237" s="40"/>
    </row>
    <row r="1238">
      <c r="D1238" s="40"/>
    </row>
    <row r="1239">
      <c r="D1239" s="40"/>
    </row>
    <row r="1240">
      <c r="D1240" s="40"/>
    </row>
    <row r="1241">
      <c r="D1241" s="40"/>
    </row>
    <row r="1242">
      <c r="D1242" s="40"/>
    </row>
    <row r="1243">
      <c r="D1243" s="40"/>
    </row>
    <row r="1244">
      <c r="D1244" s="40"/>
    </row>
    <row r="1245">
      <c r="D1245" s="40"/>
    </row>
    <row r="1246">
      <c r="D1246" s="40"/>
    </row>
    <row r="1247">
      <c r="D1247" s="40"/>
    </row>
    <row r="1248">
      <c r="D1248" s="40"/>
    </row>
    <row r="1249">
      <c r="D1249" s="40"/>
    </row>
    <row r="1250">
      <c r="D1250" s="40"/>
    </row>
    <row r="1251">
      <c r="D1251" s="40"/>
    </row>
    <row r="1252">
      <c r="D1252" s="40"/>
    </row>
    <row r="1253">
      <c r="D1253" s="40"/>
    </row>
    <row r="1254">
      <c r="D1254" s="40"/>
    </row>
    <row r="1255">
      <c r="D1255" s="40"/>
    </row>
    <row r="1256">
      <c r="D1256" s="40"/>
    </row>
    <row r="1257">
      <c r="D1257" s="40"/>
    </row>
    <row r="1258">
      <c r="D1258" s="40"/>
    </row>
    <row r="1259">
      <c r="D1259" s="40"/>
    </row>
    <row r="1260">
      <c r="D1260" s="40"/>
    </row>
    <row r="1261">
      <c r="D1261" s="40"/>
    </row>
    <row r="1262">
      <c r="D1262" s="40"/>
    </row>
    <row r="1263">
      <c r="D1263" s="40"/>
    </row>
    <row r="1264">
      <c r="D1264" s="40"/>
    </row>
    <row r="1265">
      <c r="D1265" s="40"/>
    </row>
    <row r="1266">
      <c r="D1266" s="40"/>
    </row>
    <row r="1267">
      <c r="D1267" s="40"/>
    </row>
    <row r="1268">
      <c r="D1268" s="40"/>
    </row>
    <row r="1269">
      <c r="D1269" s="40"/>
    </row>
    <row r="1270">
      <c r="D1270" s="40"/>
    </row>
    <row r="1271">
      <c r="D1271" s="40"/>
    </row>
    <row r="1272">
      <c r="D1272" s="40"/>
    </row>
    <row r="1273">
      <c r="D1273" s="40"/>
    </row>
    <row r="1274">
      <c r="D1274" s="40"/>
    </row>
    <row r="1275">
      <c r="D1275" s="40"/>
    </row>
    <row r="1276">
      <c r="D1276" s="40"/>
    </row>
    <row r="1277">
      <c r="D1277" s="40"/>
    </row>
    <row r="1278">
      <c r="D1278" s="40"/>
    </row>
    <row r="1279">
      <c r="D1279" s="40"/>
    </row>
    <row r="1280">
      <c r="D1280" s="40"/>
    </row>
    <row r="1281">
      <c r="D1281" s="40"/>
    </row>
    <row r="1282">
      <c r="D1282" s="40"/>
    </row>
    <row r="1283">
      <c r="D1283" s="40"/>
    </row>
    <row r="1284">
      <c r="D1284" s="40"/>
    </row>
    <row r="1285">
      <c r="D1285" s="40"/>
    </row>
    <row r="1286">
      <c r="D1286" s="40"/>
    </row>
    <row r="1287">
      <c r="D1287" s="40"/>
    </row>
    <row r="1288">
      <c r="D1288" s="40"/>
    </row>
    <row r="1289">
      <c r="D1289" s="40"/>
    </row>
    <row r="1290">
      <c r="D1290" s="40"/>
    </row>
    <row r="1291">
      <c r="D1291" s="40"/>
    </row>
    <row r="1292">
      <c r="D1292" s="40"/>
    </row>
    <row r="1293">
      <c r="D1293" s="40"/>
    </row>
    <row r="1294">
      <c r="D1294" s="40"/>
    </row>
    <row r="1295">
      <c r="D1295" s="40"/>
    </row>
    <row r="1296">
      <c r="D1296" s="40"/>
    </row>
    <row r="1297">
      <c r="D1297" s="40"/>
    </row>
    <row r="1298">
      <c r="D1298" s="40"/>
    </row>
    <row r="1299">
      <c r="D1299" s="40"/>
    </row>
    <row r="1300">
      <c r="D1300" s="40"/>
    </row>
    <row r="1301">
      <c r="D1301" s="40"/>
    </row>
    <row r="1302">
      <c r="D1302" s="40"/>
    </row>
    <row r="1303">
      <c r="D1303" s="40"/>
    </row>
    <row r="1304">
      <c r="D1304" s="40"/>
    </row>
    <row r="1305">
      <c r="D1305" s="40"/>
    </row>
    <row r="1306">
      <c r="D1306" s="40"/>
    </row>
    <row r="1307">
      <c r="D1307" s="40"/>
    </row>
    <row r="1308">
      <c r="D1308" s="40"/>
    </row>
    <row r="1309">
      <c r="D1309" s="40"/>
    </row>
    <row r="1310">
      <c r="D1310" s="40"/>
    </row>
    <row r="1311">
      <c r="D1311" s="40"/>
    </row>
    <row r="1312">
      <c r="D1312" s="40"/>
    </row>
    <row r="1313">
      <c r="D1313" s="40"/>
    </row>
    <row r="1314">
      <c r="D1314" s="40"/>
    </row>
    <row r="1315">
      <c r="D1315" s="40"/>
    </row>
    <row r="1316">
      <c r="D1316" s="40"/>
    </row>
    <row r="1317">
      <c r="D1317" s="40"/>
    </row>
    <row r="1318">
      <c r="D1318" s="40"/>
    </row>
    <row r="1319">
      <c r="D1319" s="40"/>
    </row>
    <row r="1320">
      <c r="D1320" s="40"/>
    </row>
    <row r="1321">
      <c r="D1321" s="40"/>
    </row>
    <row r="1322">
      <c r="D1322" s="40"/>
    </row>
    <row r="1323">
      <c r="D1323" s="40"/>
    </row>
    <row r="1324">
      <c r="D1324" s="40"/>
    </row>
    <row r="1325">
      <c r="D1325" s="40"/>
    </row>
    <row r="1326">
      <c r="D1326" s="40"/>
    </row>
    <row r="1327">
      <c r="D1327" s="40"/>
    </row>
    <row r="1328">
      <c r="D1328" s="40"/>
    </row>
    <row r="1329">
      <c r="D1329" s="40"/>
    </row>
    <row r="1330">
      <c r="D1330" s="40"/>
    </row>
    <row r="1331">
      <c r="D1331" s="40"/>
    </row>
    <row r="1332">
      <c r="D1332" s="40"/>
    </row>
    <row r="1333">
      <c r="D1333" s="40"/>
    </row>
    <row r="1334">
      <c r="D1334" s="40"/>
    </row>
    <row r="1335">
      <c r="D1335" s="40"/>
    </row>
    <row r="1336">
      <c r="D1336" s="40"/>
    </row>
    <row r="1337">
      <c r="D1337" s="40"/>
    </row>
    <row r="1338">
      <c r="D1338" s="40"/>
    </row>
    <row r="1339">
      <c r="D1339" s="40"/>
    </row>
    <row r="1340">
      <c r="D1340" s="40"/>
    </row>
    <row r="1341">
      <c r="D1341" s="40"/>
    </row>
    <row r="1342">
      <c r="D1342" s="40"/>
    </row>
    <row r="1343">
      <c r="D1343" s="40"/>
    </row>
    <row r="1344">
      <c r="D1344" s="40"/>
    </row>
    <row r="1345">
      <c r="D1345" s="40"/>
    </row>
    <row r="1346">
      <c r="D1346" s="40"/>
    </row>
    <row r="1347">
      <c r="D1347" s="40"/>
    </row>
    <row r="1348">
      <c r="D1348" s="40"/>
    </row>
    <row r="1349">
      <c r="D1349" s="40"/>
    </row>
    <row r="1350">
      <c r="D1350" s="40"/>
    </row>
    <row r="1351">
      <c r="D1351" s="40"/>
    </row>
    <row r="1352">
      <c r="D1352" s="40"/>
    </row>
    <row r="1353">
      <c r="D1353" s="40"/>
    </row>
    <row r="1354">
      <c r="D1354" s="40"/>
    </row>
    <row r="1355">
      <c r="D1355" s="40"/>
    </row>
    <row r="1356">
      <c r="D1356" s="40"/>
    </row>
    <row r="1357">
      <c r="D1357" s="40"/>
    </row>
    <row r="1358">
      <c r="D1358" s="40"/>
    </row>
    <row r="1359">
      <c r="D1359" s="40"/>
    </row>
    <row r="1360">
      <c r="D1360" s="40"/>
    </row>
    <row r="1361">
      <c r="D1361" s="40"/>
    </row>
    <row r="1362">
      <c r="D1362" s="40"/>
    </row>
    <row r="1363">
      <c r="D1363" s="40"/>
    </row>
    <row r="1364">
      <c r="D1364" s="40"/>
    </row>
    <row r="1365">
      <c r="D1365" s="40"/>
    </row>
    <row r="1366">
      <c r="D1366" s="40"/>
    </row>
    <row r="1367">
      <c r="D1367" s="40"/>
    </row>
    <row r="1368">
      <c r="D1368" s="40"/>
    </row>
    <row r="1369">
      <c r="D1369" s="40"/>
    </row>
    <row r="1370">
      <c r="D1370" s="40"/>
    </row>
    <row r="1371">
      <c r="D1371" s="40"/>
    </row>
    <row r="1372">
      <c r="D1372" s="40"/>
    </row>
    <row r="1373">
      <c r="D1373" s="40"/>
    </row>
    <row r="1374">
      <c r="D1374" s="40"/>
    </row>
    <row r="1375">
      <c r="D1375" s="40"/>
    </row>
    <row r="1376">
      <c r="D1376" s="40"/>
    </row>
    <row r="1377">
      <c r="D1377" s="40"/>
    </row>
    <row r="1378">
      <c r="D1378" s="40"/>
    </row>
    <row r="1379">
      <c r="D1379" s="40"/>
    </row>
    <row r="1380">
      <c r="D1380" s="40"/>
    </row>
    <row r="1381">
      <c r="D1381" s="40"/>
    </row>
    <row r="1382">
      <c r="D1382" s="40"/>
    </row>
    <row r="1383">
      <c r="D1383" s="40"/>
    </row>
    <row r="1384">
      <c r="D1384" s="40"/>
    </row>
    <row r="1385">
      <c r="D1385" s="40"/>
    </row>
    <row r="1386">
      <c r="D1386" s="40"/>
    </row>
    <row r="1387">
      <c r="D1387" s="40"/>
    </row>
    <row r="1388">
      <c r="D1388" s="40"/>
    </row>
    <row r="1389">
      <c r="D1389" s="40"/>
    </row>
    <row r="1390">
      <c r="D1390" s="40"/>
    </row>
    <row r="1391">
      <c r="D1391" s="40"/>
    </row>
    <row r="1392">
      <c r="D1392" s="40"/>
    </row>
    <row r="1393">
      <c r="D1393" s="40"/>
    </row>
    <row r="1394">
      <c r="D1394" s="40"/>
    </row>
    <row r="1395">
      <c r="D1395" s="40"/>
    </row>
    <row r="1396">
      <c r="D1396" s="40"/>
    </row>
    <row r="1397">
      <c r="D1397" s="40"/>
    </row>
    <row r="1398">
      <c r="D1398" s="40"/>
    </row>
    <row r="1399">
      <c r="D1399" s="40"/>
    </row>
    <row r="1400">
      <c r="D1400" s="40"/>
    </row>
    <row r="1401">
      <c r="D1401" s="40"/>
    </row>
    <row r="1402">
      <c r="D1402" s="40"/>
    </row>
    <row r="1403">
      <c r="D1403" s="40"/>
    </row>
    <row r="1404">
      <c r="D1404" s="40"/>
    </row>
    <row r="1405">
      <c r="D1405" s="40"/>
    </row>
    <row r="1406">
      <c r="D1406" s="40"/>
    </row>
    <row r="1407">
      <c r="D1407" s="40"/>
    </row>
    <row r="1408">
      <c r="D1408" s="40"/>
    </row>
    <row r="1409">
      <c r="D1409" s="40"/>
    </row>
    <row r="1410">
      <c r="D1410" s="40"/>
    </row>
    <row r="1411">
      <c r="D1411" s="40"/>
    </row>
    <row r="1412">
      <c r="D1412" s="40"/>
    </row>
    <row r="1413">
      <c r="D1413" s="40"/>
    </row>
    <row r="1414">
      <c r="D1414" s="40"/>
    </row>
    <row r="1415">
      <c r="D1415" s="40"/>
    </row>
    <row r="1416">
      <c r="D1416" s="40"/>
    </row>
    <row r="1417">
      <c r="D1417" s="40"/>
    </row>
    <row r="1418">
      <c r="D1418" s="40"/>
    </row>
    <row r="1419">
      <c r="D1419" s="40"/>
    </row>
    <row r="1420">
      <c r="D1420" s="40"/>
    </row>
    <row r="1421">
      <c r="D1421" s="40"/>
    </row>
    <row r="1422">
      <c r="D1422" s="40"/>
    </row>
    <row r="1423">
      <c r="D1423" s="40"/>
    </row>
    <row r="1424">
      <c r="D1424" s="40"/>
    </row>
    <row r="1425">
      <c r="D1425" s="40"/>
    </row>
    <row r="1426">
      <c r="D1426" s="40"/>
    </row>
    <row r="1427">
      <c r="D1427" s="40"/>
    </row>
    <row r="1428">
      <c r="D1428" s="40"/>
    </row>
    <row r="1429">
      <c r="D1429" s="40"/>
    </row>
    <row r="1430">
      <c r="D1430" s="40"/>
    </row>
    <row r="1431">
      <c r="D1431" s="40"/>
    </row>
    <row r="1432">
      <c r="D1432" s="40"/>
    </row>
    <row r="1433">
      <c r="D1433" s="40"/>
    </row>
    <row r="1434">
      <c r="D1434" s="40"/>
    </row>
    <row r="1435">
      <c r="D1435" s="40"/>
    </row>
    <row r="1436">
      <c r="D1436" s="40"/>
    </row>
    <row r="1437">
      <c r="D1437" s="40"/>
    </row>
    <row r="1438">
      <c r="D1438" s="40"/>
    </row>
    <row r="1439">
      <c r="D1439" s="40"/>
    </row>
    <row r="1440">
      <c r="D1440" s="40"/>
    </row>
    <row r="1441">
      <c r="D1441" s="40"/>
    </row>
    <row r="1442">
      <c r="D1442" s="40"/>
    </row>
    <row r="1443">
      <c r="D1443" s="40"/>
    </row>
    <row r="1444">
      <c r="D1444" s="40"/>
    </row>
    <row r="1445">
      <c r="D1445" s="40"/>
    </row>
    <row r="1446">
      <c r="D1446" s="40"/>
    </row>
    <row r="1447">
      <c r="D1447" s="40"/>
    </row>
    <row r="1448">
      <c r="D1448" s="40"/>
    </row>
    <row r="1449">
      <c r="D1449" s="40"/>
    </row>
    <row r="1450">
      <c r="D1450" s="40"/>
    </row>
    <row r="1451">
      <c r="D1451" s="40"/>
    </row>
    <row r="1452">
      <c r="D1452" s="40"/>
    </row>
    <row r="1453">
      <c r="D1453" s="40"/>
    </row>
    <row r="1454">
      <c r="D1454" s="40"/>
    </row>
    <row r="1455">
      <c r="D1455" s="40"/>
    </row>
    <row r="1456">
      <c r="D1456" s="40"/>
    </row>
    <row r="1457">
      <c r="D1457" s="40"/>
    </row>
    <row r="1458">
      <c r="D1458" s="40"/>
    </row>
    <row r="1459">
      <c r="D1459" s="40"/>
    </row>
    <row r="1460">
      <c r="D1460" s="40"/>
    </row>
    <row r="1461">
      <c r="D1461" s="40"/>
    </row>
    <row r="1462">
      <c r="D1462" s="40"/>
    </row>
    <row r="1463">
      <c r="D1463" s="40"/>
    </row>
    <row r="1464">
      <c r="D1464" s="40"/>
    </row>
    <row r="1465">
      <c r="D1465" s="40"/>
    </row>
    <row r="1466">
      <c r="D1466" s="40"/>
    </row>
    <row r="1467">
      <c r="D1467" s="40"/>
    </row>
    <row r="1468">
      <c r="D1468" s="40"/>
    </row>
    <row r="1469">
      <c r="D1469" s="40"/>
    </row>
    <row r="1470">
      <c r="D1470" s="40"/>
    </row>
    <row r="1471">
      <c r="D1471" s="40"/>
    </row>
    <row r="1472">
      <c r="D1472" s="40"/>
    </row>
    <row r="1473">
      <c r="D1473" s="40"/>
    </row>
    <row r="1474">
      <c r="D1474" s="40"/>
    </row>
    <row r="1475">
      <c r="D1475" s="40"/>
    </row>
    <row r="1476">
      <c r="D1476" s="40"/>
    </row>
    <row r="1477">
      <c r="D1477" s="40"/>
    </row>
    <row r="1478">
      <c r="D1478" s="40"/>
    </row>
    <row r="1479">
      <c r="D1479" s="40"/>
    </row>
    <row r="1480">
      <c r="D1480" s="40"/>
    </row>
    <row r="1481">
      <c r="D1481" s="40"/>
    </row>
    <row r="1482">
      <c r="D1482" s="40"/>
    </row>
    <row r="1483">
      <c r="D1483" s="40"/>
    </row>
    <row r="1484">
      <c r="D1484" s="40"/>
    </row>
    <row r="1485">
      <c r="D1485" s="40"/>
    </row>
    <row r="1486">
      <c r="D1486" s="40"/>
    </row>
    <row r="1487">
      <c r="D1487" s="40"/>
    </row>
    <row r="1488">
      <c r="D1488" s="40"/>
    </row>
    <row r="1489">
      <c r="D1489" s="40"/>
    </row>
    <row r="1490">
      <c r="D1490" s="40"/>
    </row>
    <row r="1491">
      <c r="D1491" s="40"/>
    </row>
    <row r="1492">
      <c r="D1492" s="40"/>
    </row>
    <row r="1493">
      <c r="D1493" s="40"/>
    </row>
    <row r="1494">
      <c r="D1494" s="40"/>
    </row>
    <row r="1495">
      <c r="D1495" s="40"/>
    </row>
    <row r="1496">
      <c r="D1496" s="40"/>
    </row>
    <row r="1497">
      <c r="D1497" s="40"/>
    </row>
    <row r="1498">
      <c r="D1498" s="40"/>
    </row>
    <row r="1499">
      <c r="D1499" s="40"/>
    </row>
    <row r="1500">
      <c r="D1500" s="40"/>
    </row>
    <row r="1501">
      <c r="D1501" s="40"/>
    </row>
    <row r="1502">
      <c r="D1502" s="40"/>
    </row>
    <row r="1503">
      <c r="D1503" s="40"/>
    </row>
    <row r="1504">
      <c r="D1504" s="40"/>
    </row>
    <row r="1505">
      <c r="D1505" s="40"/>
    </row>
    <row r="1506">
      <c r="D1506" s="40"/>
    </row>
    <row r="1507">
      <c r="D1507" s="40"/>
    </row>
    <row r="1508">
      <c r="D1508" s="40"/>
    </row>
    <row r="1509">
      <c r="D1509" s="40"/>
    </row>
    <row r="1510">
      <c r="D1510" s="40"/>
    </row>
    <row r="1511">
      <c r="D1511" s="40"/>
    </row>
    <row r="1512">
      <c r="D1512" s="40"/>
    </row>
    <row r="1513">
      <c r="D1513" s="40"/>
    </row>
    <row r="1514">
      <c r="D1514" s="40"/>
    </row>
    <row r="1515">
      <c r="D1515" s="40"/>
    </row>
    <row r="1516">
      <c r="D1516" s="40"/>
    </row>
    <row r="1517">
      <c r="D1517" s="40"/>
    </row>
    <row r="1518">
      <c r="D1518" s="40"/>
    </row>
    <row r="1519">
      <c r="D1519" s="40"/>
    </row>
    <row r="1520">
      <c r="D1520" s="40"/>
    </row>
    <row r="1521">
      <c r="D1521" s="40"/>
    </row>
    <row r="1522">
      <c r="D1522" s="40"/>
    </row>
    <row r="1523">
      <c r="D1523" s="40"/>
    </row>
    <row r="1524">
      <c r="D1524" s="40"/>
    </row>
    <row r="1525">
      <c r="D1525" s="40"/>
    </row>
    <row r="1526">
      <c r="D1526" s="40"/>
    </row>
    <row r="1527">
      <c r="D1527" s="40"/>
    </row>
    <row r="1528">
      <c r="D1528" s="40"/>
    </row>
    <row r="1529">
      <c r="D1529" s="40"/>
    </row>
    <row r="1530">
      <c r="D1530" s="40"/>
    </row>
    <row r="1531">
      <c r="D1531" s="40"/>
    </row>
    <row r="1532">
      <c r="D1532" s="40"/>
    </row>
    <row r="1533">
      <c r="D1533" s="40"/>
    </row>
    <row r="1534">
      <c r="D1534" s="40"/>
    </row>
    <row r="1535">
      <c r="D1535" s="40"/>
    </row>
    <row r="1536">
      <c r="D1536" s="40"/>
    </row>
    <row r="1537">
      <c r="D1537" s="40"/>
    </row>
    <row r="1538">
      <c r="D1538" s="40"/>
    </row>
    <row r="1539">
      <c r="D1539" s="40"/>
    </row>
    <row r="1540">
      <c r="D1540" s="40"/>
    </row>
    <row r="1541">
      <c r="D1541" s="40"/>
    </row>
    <row r="1542">
      <c r="D1542" s="40"/>
    </row>
    <row r="1543">
      <c r="D1543" s="40"/>
    </row>
    <row r="1544">
      <c r="D1544" s="40"/>
    </row>
    <row r="1545">
      <c r="D1545" s="40"/>
    </row>
    <row r="1546">
      <c r="D1546" s="40"/>
    </row>
    <row r="1547">
      <c r="D1547" s="40"/>
    </row>
    <row r="1548">
      <c r="D1548" s="40"/>
    </row>
    <row r="1549">
      <c r="D1549" s="40"/>
    </row>
    <row r="1550">
      <c r="D1550" s="40"/>
    </row>
    <row r="1551">
      <c r="D1551" s="40"/>
    </row>
    <row r="1552">
      <c r="D1552" s="40"/>
    </row>
    <row r="1553">
      <c r="D1553" s="40"/>
    </row>
    <row r="1554">
      <c r="D1554" s="40"/>
    </row>
    <row r="1555">
      <c r="D1555" s="40"/>
    </row>
    <row r="1556">
      <c r="D1556" s="40"/>
    </row>
    <row r="1557">
      <c r="D1557" s="40"/>
    </row>
    <row r="1558">
      <c r="D1558" s="40"/>
    </row>
    <row r="1559">
      <c r="D1559" s="40"/>
    </row>
    <row r="1560">
      <c r="D1560" s="40"/>
    </row>
    <row r="1561">
      <c r="D1561" s="40"/>
    </row>
    <row r="1562">
      <c r="D1562" s="40"/>
    </row>
    <row r="1563">
      <c r="D1563" s="40"/>
    </row>
    <row r="1564">
      <c r="D1564" s="40"/>
    </row>
    <row r="1565">
      <c r="D1565" s="40"/>
    </row>
    <row r="1566">
      <c r="D1566" s="40"/>
    </row>
  </sheetData>
  <conditionalFormatting sqref="A2:C72 D2:E12 F2:F7 G2:G50 I2:I21 J2:K20 L2:M33 N2:U72 H3:H21 F9:F50 D14:E72 J22:K43 H24:I34 L35:M72 H36:I42 H44:I72 J45:K64 F52:G63 F65:G72 J66:K72">
    <cfRule type="expression" dxfId="0" priority="1">
      <formula>ISTEXT(INDEX(FILTER(INDIRECT("Total!$G$2:$G"), REGEXMATCH(lower($D2), lower(INDIRECT("Total!$G$2:$G")))), 1, 1))</formula>
    </cfRule>
  </conditionalFormatting>
  <conditionalFormatting sqref="A2:C72 D2:E12 F2:F7 G2:G50 I2:I21 J2:K20 L2:M33 N2:U72 H3:H21 F9:F50 D14:E72 J22:K43 H24:I34 L35:M72 H36:I42 H44:I72 J45:K64 F52:G63 F65:G72 J66:K72">
    <cfRule type="expression" dxfId="0" priority="2">
      <formula>ISTEXT(INDEX(FILTER(INDIRECT("Total!$G$2:$G"), REGEXMATCH(lower($F2), lower(INDIRECT("Total!$G$2:$G")))), 1, 1))</formula>
    </cfRule>
  </conditionalFormatting>
  <conditionalFormatting sqref="A2:C72 D2:E12 F2:F7 G2:G50 I2:I21 J2:K20 L2:M33 N2:U72 H3:H21 F9:F50 D14:E72 J22:K43 H24:I34 L35:M72 H36:I42 H44:I72 J45:K64 F52:G63 F65:G72 J66:K72">
    <cfRule type="expression" dxfId="0" priority="3">
      <formula>ISTEXT(INDEX(FILTER(INDIRECT("Total!$G$2:$G"), REGEXMATCH(lower($H2), lower(INDIRECT("Total!$G$2:$G")))), 1, 1))</formula>
    </cfRule>
  </conditionalFormatting>
  <conditionalFormatting sqref="A2:C72 D2:E12 F2:F7 G2:G50 I2:I21 J2:K20 L2:M33 N2:U72 H3:H21 F9:F50 D14:E72 J22:K43 H24:I34 L35:M72 H36:I42 H44:I72 J45:K64 F52:G63 F65:G72 J66:K72">
    <cfRule type="expression" dxfId="0" priority="4">
      <formula>ISTEXT(INDEX(FILTER(INDIRECT("Total!$G$2:$G"), REGEXMATCH(lower($J2), lower(INDIRECT("Total!$G$2:$G")))), 1, 1))</formula>
    </cfRule>
  </conditionalFormatting>
  <conditionalFormatting sqref="A2:C72 D2:E12 F2:F7 G2:G50 I2:I21 J2:K20 L2:M33 N2:U72 H3:H21 F9:F50 D14:E72 J22:K43 H24:I34 L35:M72 H36:I42 H44:I72 J45:K64 F52:G63 F65:G72 J66:K72">
    <cfRule type="expression" dxfId="0" priority="5">
      <formula>ISTEXT(INDEX(FILTER(INDIRECT("Total!$G$2:$G"), REGEXMATCH(lower($L2), lower(INDIRECT("Total!$G$2:$G")))), 1, 1))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7.13"/>
    <col customWidth="1" min="3" max="3" width="17.5"/>
    <col customWidth="1" min="4" max="5" width="19.13"/>
    <col customWidth="1" min="6" max="6" width="10.25"/>
    <col customWidth="1" min="7" max="9" width="5.88"/>
    <col customWidth="1" min="10" max="10" width="10.88"/>
    <col customWidth="1" min="11" max="11" width="24.63"/>
  </cols>
  <sheetData>
    <row r="1">
      <c r="A1" s="28" t="s">
        <v>17</v>
      </c>
      <c r="B1" s="28" t="s">
        <v>375</v>
      </c>
      <c r="C1" s="28" t="s">
        <v>376</v>
      </c>
      <c r="D1" s="28" t="s">
        <v>377</v>
      </c>
      <c r="E1" s="28" t="s">
        <v>378</v>
      </c>
      <c r="F1" s="28" t="s">
        <v>379</v>
      </c>
      <c r="G1" s="28" t="s">
        <v>380</v>
      </c>
      <c r="H1" s="42" t="s">
        <v>381</v>
      </c>
      <c r="I1" s="42" t="s">
        <v>382</v>
      </c>
      <c r="J1" s="23"/>
      <c r="K1" s="46" t="s">
        <v>383</v>
      </c>
      <c r="L1" s="47" t="s">
        <v>384</v>
      </c>
    </row>
    <row r="2">
      <c r="A2" s="15">
        <v>1.0</v>
      </c>
      <c r="B2" s="48" t="s">
        <v>93</v>
      </c>
      <c r="C2" s="15" t="s">
        <v>94</v>
      </c>
      <c r="D2" s="49" t="s">
        <v>385</v>
      </c>
      <c r="E2" s="20"/>
      <c r="F2" s="20">
        <f t="shared" ref="F2:F54" si="1">sum(G2:I2)</f>
        <v>6</v>
      </c>
      <c r="G2" s="20">
        <v>3.0</v>
      </c>
      <c r="H2" s="20">
        <v>1.0</v>
      </c>
      <c r="I2" s="20">
        <v>2.0</v>
      </c>
      <c r="J2" s="23"/>
      <c r="K2" s="50" t="s">
        <v>127</v>
      </c>
      <c r="L2" s="50" t="s">
        <v>386</v>
      </c>
    </row>
    <row r="3">
      <c r="A3" s="15">
        <v>2.0</v>
      </c>
      <c r="B3" s="51" t="s">
        <v>101</v>
      </c>
      <c r="C3" s="15" t="s">
        <v>32</v>
      </c>
      <c r="D3" s="52" t="s">
        <v>387</v>
      </c>
      <c r="E3" s="49" t="s">
        <v>388</v>
      </c>
      <c r="F3" s="20">
        <f t="shared" si="1"/>
        <v>5</v>
      </c>
      <c r="G3" s="15">
        <v>1.0</v>
      </c>
      <c r="H3" s="20">
        <v>2.0</v>
      </c>
      <c r="I3" s="20">
        <v>2.0</v>
      </c>
      <c r="J3" s="23"/>
      <c r="K3" s="4" t="s">
        <v>193</v>
      </c>
      <c r="L3" s="4" t="s">
        <v>386</v>
      </c>
    </row>
    <row r="4">
      <c r="A4" s="15">
        <v>3.0</v>
      </c>
      <c r="B4" s="51" t="s">
        <v>27</v>
      </c>
      <c r="C4" s="15" t="s">
        <v>28</v>
      </c>
      <c r="D4" s="15" t="s">
        <v>387</v>
      </c>
      <c r="E4" s="15" t="s">
        <v>388</v>
      </c>
      <c r="F4" s="20">
        <f t="shared" si="1"/>
        <v>24</v>
      </c>
      <c r="G4" s="15">
        <v>7.0</v>
      </c>
      <c r="H4" s="20">
        <v>7.0</v>
      </c>
      <c r="I4" s="20">
        <v>10.0</v>
      </c>
      <c r="J4" s="23"/>
      <c r="K4" s="50" t="s">
        <v>128</v>
      </c>
      <c r="L4" s="50" t="s">
        <v>75</v>
      </c>
    </row>
    <row r="5">
      <c r="A5" s="15">
        <v>4.0</v>
      </c>
      <c r="B5" s="48" t="s">
        <v>127</v>
      </c>
      <c r="C5" s="15" t="s">
        <v>73</v>
      </c>
      <c r="D5" s="15" t="s">
        <v>389</v>
      </c>
      <c r="E5" s="15" t="s">
        <v>390</v>
      </c>
      <c r="F5" s="20">
        <f t="shared" si="1"/>
        <v>6</v>
      </c>
      <c r="G5" s="15">
        <v>3.0</v>
      </c>
      <c r="H5" s="20">
        <v>1.0</v>
      </c>
      <c r="I5" s="20">
        <v>2.0</v>
      </c>
      <c r="J5" s="23"/>
      <c r="K5" s="18" t="s">
        <v>391</v>
      </c>
      <c r="L5" s="4" t="s">
        <v>392</v>
      </c>
    </row>
    <row r="6">
      <c r="A6" s="15">
        <v>5.0</v>
      </c>
      <c r="B6" s="53" t="s">
        <v>393</v>
      </c>
      <c r="C6" s="19" t="s">
        <v>125</v>
      </c>
      <c r="D6" s="15"/>
      <c r="E6" s="54"/>
      <c r="F6" s="20">
        <f t="shared" si="1"/>
        <v>7</v>
      </c>
      <c r="G6" s="19">
        <v>0.0</v>
      </c>
      <c r="H6" s="19">
        <v>4.0</v>
      </c>
      <c r="I6" s="19">
        <v>3.0</v>
      </c>
      <c r="J6" s="23"/>
      <c r="K6" s="50" t="s">
        <v>197</v>
      </c>
      <c r="L6" s="50" t="s">
        <v>394</v>
      </c>
    </row>
    <row r="7">
      <c r="A7" s="15">
        <v>6.0</v>
      </c>
      <c r="B7" s="55" t="s">
        <v>395</v>
      </c>
      <c r="C7" s="19" t="s">
        <v>125</v>
      </c>
      <c r="D7" s="15"/>
      <c r="E7" s="54"/>
      <c r="F7" s="20">
        <f t="shared" si="1"/>
        <v>4</v>
      </c>
      <c r="G7" s="19">
        <v>2.0</v>
      </c>
      <c r="H7" s="19">
        <v>2.0</v>
      </c>
      <c r="I7" s="19">
        <v>0.0</v>
      </c>
      <c r="J7" s="23"/>
      <c r="K7" s="50" t="s">
        <v>241</v>
      </c>
      <c r="L7" s="50" t="s">
        <v>396</v>
      </c>
    </row>
    <row r="8">
      <c r="A8" s="15">
        <v>7.0</v>
      </c>
      <c r="B8" s="48" t="s">
        <v>397</v>
      </c>
      <c r="C8" s="15" t="s">
        <v>263</v>
      </c>
      <c r="D8" s="15" t="s">
        <v>398</v>
      </c>
      <c r="E8" s="54">
        <v>44206.0</v>
      </c>
      <c r="F8" s="20">
        <f t="shared" si="1"/>
        <v>0</v>
      </c>
      <c r="G8" s="20"/>
      <c r="H8" s="20"/>
      <c r="I8" s="20"/>
      <c r="J8" s="23"/>
      <c r="K8" s="18" t="s">
        <v>231</v>
      </c>
      <c r="L8" s="4" t="s">
        <v>386</v>
      </c>
    </row>
    <row r="9">
      <c r="A9" s="15">
        <v>8.0</v>
      </c>
      <c r="B9" s="48" t="s">
        <v>399</v>
      </c>
      <c r="C9" s="15" t="s">
        <v>400</v>
      </c>
      <c r="D9" s="15" t="s">
        <v>401</v>
      </c>
      <c r="E9" s="20"/>
      <c r="F9" s="20">
        <f t="shared" si="1"/>
        <v>0</v>
      </c>
      <c r="G9" s="20"/>
      <c r="H9" s="20"/>
      <c r="I9" s="20"/>
      <c r="J9" s="23"/>
      <c r="K9" s="48" t="s">
        <v>179</v>
      </c>
      <c r="L9" s="48" t="s">
        <v>180</v>
      </c>
    </row>
    <row r="10">
      <c r="A10" s="15">
        <v>9.0</v>
      </c>
      <c r="B10" s="48" t="s">
        <v>402</v>
      </c>
      <c r="C10" s="15" t="s">
        <v>39</v>
      </c>
      <c r="D10" s="15" t="s">
        <v>403</v>
      </c>
      <c r="E10" s="20"/>
      <c r="F10" s="20">
        <f t="shared" si="1"/>
        <v>0</v>
      </c>
      <c r="G10" s="19"/>
      <c r="H10" s="19"/>
      <c r="I10" s="20"/>
      <c r="J10" s="23"/>
      <c r="K10" s="50" t="s">
        <v>48</v>
      </c>
      <c r="L10" s="50" t="s">
        <v>394</v>
      </c>
    </row>
    <row r="11">
      <c r="A11" s="15">
        <v>10.0</v>
      </c>
      <c r="B11" s="48" t="s">
        <v>262</v>
      </c>
      <c r="C11" s="20" t="s">
        <v>263</v>
      </c>
      <c r="D11" s="15"/>
      <c r="E11" s="15"/>
      <c r="F11" s="20">
        <f t="shared" si="1"/>
        <v>1</v>
      </c>
      <c r="G11" s="19">
        <v>0.0</v>
      </c>
      <c r="H11" s="19">
        <v>1.0</v>
      </c>
      <c r="I11" s="19">
        <v>0.0</v>
      </c>
      <c r="J11" s="23"/>
      <c r="K11" s="50" t="s">
        <v>24</v>
      </c>
      <c r="L11" s="50" t="s">
        <v>394</v>
      </c>
    </row>
    <row r="12">
      <c r="A12" s="15">
        <v>11.0</v>
      </c>
      <c r="B12" s="48" t="s">
        <v>74</v>
      </c>
      <c r="C12" s="15" t="s">
        <v>75</v>
      </c>
      <c r="D12" s="15"/>
      <c r="E12" s="15"/>
      <c r="F12" s="20">
        <f t="shared" si="1"/>
        <v>4</v>
      </c>
      <c r="G12" s="15">
        <v>2.0</v>
      </c>
      <c r="H12" s="19">
        <v>2.0</v>
      </c>
      <c r="I12" s="20">
        <v>0.0</v>
      </c>
      <c r="J12" s="23"/>
      <c r="K12" s="50" t="s">
        <v>88</v>
      </c>
      <c r="L12" s="50" t="s">
        <v>394</v>
      </c>
    </row>
    <row r="13">
      <c r="A13" s="15">
        <v>12.0</v>
      </c>
      <c r="B13" s="56" t="s">
        <v>265</v>
      </c>
      <c r="C13" s="19" t="s">
        <v>404</v>
      </c>
      <c r="D13" s="15"/>
      <c r="E13" s="15"/>
      <c r="F13" s="20">
        <f t="shared" si="1"/>
        <v>2</v>
      </c>
      <c r="G13" s="19">
        <v>1.0</v>
      </c>
      <c r="H13" s="19">
        <v>1.0</v>
      </c>
      <c r="I13" s="19">
        <v>0.0</v>
      </c>
      <c r="J13" s="23"/>
      <c r="K13" s="50" t="s">
        <v>405</v>
      </c>
      <c r="L13" s="50" t="s">
        <v>75</v>
      </c>
    </row>
    <row r="14">
      <c r="A14" s="15">
        <v>13.0</v>
      </c>
      <c r="B14" s="48" t="s">
        <v>90</v>
      </c>
      <c r="C14" s="15" t="s">
        <v>91</v>
      </c>
      <c r="D14" s="54">
        <v>44448.0</v>
      </c>
      <c r="E14" s="20"/>
      <c r="F14" s="20">
        <f t="shared" si="1"/>
        <v>13</v>
      </c>
      <c r="G14" s="20">
        <v>4.0</v>
      </c>
      <c r="H14" s="20">
        <v>5.0</v>
      </c>
      <c r="I14" s="20">
        <v>4.0</v>
      </c>
      <c r="J14" s="23"/>
      <c r="K14" s="4" t="s">
        <v>405</v>
      </c>
      <c r="L14" s="4" t="s">
        <v>57</v>
      </c>
    </row>
    <row r="15">
      <c r="A15" s="15">
        <v>14.0</v>
      </c>
      <c r="B15" s="56" t="s">
        <v>406</v>
      </c>
      <c r="C15" s="19" t="s">
        <v>207</v>
      </c>
      <c r="D15" s="54"/>
      <c r="E15" s="15"/>
      <c r="F15" s="20">
        <f t="shared" si="1"/>
        <v>3</v>
      </c>
      <c r="G15" s="19">
        <v>0.0</v>
      </c>
      <c r="H15" s="19">
        <v>2.0</v>
      </c>
      <c r="I15" s="19">
        <v>1.0</v>
      </c>
      <c r="J15" s="23"/>
      <c r="K15" s="50" t="s">
        <v>108</v>
      </c>
      <c r="L15" s="50" t="s">
        <v>109</v>
      </c>
    </row>
    <row r="16">
      <c r="A16" s="15">
        <v>15.0</v>
      </c>
      <c r="B16" s="48" t="s">
        <v>197</v>
      </c>
      <c r="C16" s="15" t="s">
        <v>25</v>
      </c>
      <c r="D16" s="54">
        <v>44448.0</v>
      </c>
      <c r="E16" s="15" t="s">
        <v>407</v>
      </c>
      <c r="F16" s="20">
        <f t="shared" si="1"/>
        <v>10</v>
      </c>
      <c r="G16" s="20">
        <v>0.0</v>
      </c>
      <c r="H16" s="20">
        <v>5.0</v>
      </c>
      <c r="I16" s="19">
        <v>5.0</v>
      </c>
      <c r="J16" s="23"/>
      <c r="K16" s="18" t="s">
        <v>185</v>
      </c>
      <c r="L16" s="4" t="s">
        <v>57</v>
      </c>
    </row>
    <row r="17">
      <c r="A17" s="15">
        <v>16.0</v>
      </c>
      <c r="B17" s="48" t="s">
        <v>241</v>
      </c>
      <c r="C17" s="15" t="s">
        <v>142</v>
      </c>
      <c r="D17" s="54">
        <v>44448.0</v>
      </c>
      <c r="E17" s="20" t="s">
        <v>407</v>
      </c>
      <c r="F17" s="20">
        <f t="shared" si="1"/>
        <v>4</v>
      </c>
      <c r="G17" s="20">
        <v>0.0</v>
      </c>
      <c r="H17" s="20">
        <v>2.0</v>
      </c>
      <c r="I17" s="19">
        <v>2.0</v>
      </c>
      <c r="J17" s="23"/>
      <c r="K17" s="50" t="s">
        <v>103</v>
      </c>
      <c r="L17" s="50" t="s">
        <v>57</v>
      </c>
    </row>
    <row r="18">
      <c r="A18" s="15">
        <v>17.0</v>
      </c>
      <c r="B18" s="48" t="s">
        <v>102</v>
      </c>
      <c r="C18" s="15" t="s">
        <v>30</v>
      </c>
      <c r="D18" s="57">
        <v>44540.0</v>
      </c>
      <c r="E18" s="20"/>
      <c r="F18" s="20">
        <f t="shared" si="1"/>
        <v>1</v>
      </c>
      <c r="G18" s="20">
        <v>1.0</v>
      </c>
      <c r="H18" s="20">
        <v>0.0</v>
      </c>
      <c r="I18" s="20">
        <v>0.0</v>
      </c>
      <c r="J18" s="23"/>
      <c r="K18" s="50" t="s">
        <v>408</v>
      </c>
      <c r="L18" s="50" t="s">
        <v>386</v>
      </c>
    </row>
    <row r="19">
      <c r="A19" s="15">
        <v>18.0</v>
      </c>
      <c r="B19" s="56" t="s">
        <v>231</v>
      </c>
      <c r="C19" s="19" t="s">
        <v>232</v>
      </c>
      <c r="D19" s="20"/>
      <c r="E19" s="20"/>
      <c r="F19" s="20">
        <f t="shared" si="1"/>
        <v>2</v>
      </c>
      <c r="G19" s="19">
        <v>0.0</v>
      </c>
      <c r="H19" s="19">
        <v>1.0</v>
      </c>
      <c r="I19" s="19">
        <v>1.0</v>
      </c>
      <c r="J19" s="23"/>
      <c r="K19" s="50" t="s">
        <v>191</v>
      </c>
      <c r="L19" s="50" t="s">
        <v>192</v>
      </c>
    </row>
    <row r="20">
      <c r="A20" s="15">
        <v>19.0</v>
      </c>
      <c r="B20" s="48" t="s">
        <v>179</v>
      </c>
      <c r="C20" s="19" t="s">
        <v>180</v>
      </c>
      <c r="D20" s="57"/>
      <c r="E20" s="20"/>
      <c r="F20" s="20">
        <f t="shared" si="1"/>
        <v>2</v>
      </c>
      <c r="G20" s="19">
        <v>1.0</v>
      </c>
      <c r="H20" s="19">
        <v>1.0</v>
      </c>
      <c r="I20" s="19">
        <v>0.0</v>
      </c>
      <c r="J20" s="23"/>
      <c r="K20" s="4" t="s">
        <v>45</v>
      </c>
      <c r="L20" s="4" t="s">
        <v>303</v>
      </c>
    </row>
    <row r="21">
      <c r="A21" s="15">
        <v>20.0</v>
      </c>
      <c r="B21" s="48" t="s">
        <v>409</v>
      </c>
      <c r="C21" s="15" t="s">
        <v>30</v>
      </c>
      <c r="D21" s="54">
        <v>44449.0</v>
      </c>
      <c r="E21" s="15"/>
      <c r="F21" s="20">
        <f t="shared" si="1"/>
        <v>0</v>
      </c>
      <c r="G21" s="15"/>
      <c r="H21" s="20"/>
      <c r="I21" s="20"/>
      <c r="J21" s="23"/>
      <c r="K21" s="4" t="s">
        <v>410</v>
      </c>
      <c r="L21" s="4" t="s">
        <v>75</v>
      </c>
    </row>
    <row r="22">
      <c r="A22" s="15">
        <v>21.0</v>
      </c>
      <c r="B22" s="48" t="s">
        <v>48</v>
      </c>
      <c r="C22" s="15" t="s">
        <v>25</v>
      </c>
      <c r="D22" s="15" t="s">
        <v>411</v>
      </c>
      <c r="E22" s="20"/>
      <c r="F22" s="20">
        <f t="shared" si="1"/>
        <v>16</v>
      </c>
      <c r="G22" s="20">
        <v>3.0</v>
      </c>
      <c r="H22" s="20">
        <v>4.0</v>
      </c>
      <c r="I22" s="20">
        <v>9.0</v>
      </c>
      <c r="J22" s="23"/>
      <c r="K22" s="50" t="s">
        <v>360</v>
      </c>
      <c r="L22" s="50" t="s">
        <v>361</v>
      </c>
    </row>
    <row r="23">
      <c r="A23" s="15">
        <v>22.0</v>
      </c>
      <c r="B23" s="58" t="s">
        <v>24</v>
      </c>
      <c r="C23" s="15" t="s">
        <v>25</v>
      </c>
      <c r="D23" s="15" t="s">
        <v>411</v>
      </c>
      <c r="E23" s="15"/>
      <c r="F23" s="20">
        <f t="shared" si="1"/>
        <v>20</v>
      </c>
      <c r="G23" s="15">
        <v>6.0</v>
      </c>
      <c r="H23" s="20">
        <v>11.0</v>
      </c>
      <c r="I23" s="20">
        <v>3.0</v>
      </c>
      <c r="J23" s="23"/>
      <c r="K23" s="50" t="s">
        <v>321</v>
      </c>
      <c r="L23" s="50" t="s">
        <v>57</v>
      </c>
    </row>
    <row r="24">
      <c r="A24" s="15">
        <v>23.0</v>
      </c>
      <c r="B24" s="48" t="s">
        <v>88</v>
      </c>
      <c r="C24" s="15" t="s">
        <v>89</v>
      </c>
      <c r="D24" s="15" t="s">
        <v>411</v>
      </c>
      <c r="E24" s="15"/>
      <c r="F24" s="20">
        <f t="shared" si="1"/>
        <v>7</v>
      </c>
      <c r="G24" s="15">
        <v>2.0</v>
      </c>
      <c r="H24" s="20">
        <v>5.0</v>
      </c>
      <c r="I24" s="20">
        <v>0.0</v>
      </c>
      <c r="J24" s="23"/>
      <c r="K24" s="18" t="s">
        <v>15</v>
      </c>
      <c r="L24" s="4" t="s">
        <v>57</v>
      </c>
    </row>
    <row r="25">
      <c r="A25" s="15">
        <v>24.0</v>
      </c>
      <c r="B25" s="48" t="s">
        <v>412</v>
      </c>
      <c r="C25" s="19" t="s">
        <v>269</v>
      </c>
      <c r="D25" s="15" t="s">
        <v>411</v>
      </c>
      <c r="E25" s="20"/>
      <c r="F25" s="20">
        <f t="shared" si="1"/>
        <v>0</v>
      </c>
      <c r="G25" s="20"/>
      <c r="H25" s="20"/>
      <c r="I25" s="20"/>
      <c r="J25" s="23"/>
      <c r="K25" s="50" t="s">
        <v>351</v>
      </c>
      <c r="L25" s="50" t="s">
        <v>75</v>
      </c>
    </row>
    <row r="26">
      <c r="A26" s="15">
        <v>25.0</v>
      </c>
      <c r="B26" s="48" t="s">
        <v>184</v>
      </c>
      <c r="C26" s="19" t="s">
        <v>180</v>
      </c>
      <c r="D26" s="59" t="s">
        <v>413</v>
      </c>
      <c r="E26" s="20" t="s">
        <v>414</v>
      </c>
      <c r="F26" s="20">
        <f t="shared" si="1"/>
        <v>4</v>
      </c>
      <c r="G26" s="20">
        <v>0.0</v>
      </c>
      <c r="H26" s="20">
        <v>2.0</v>
      </c>
      <c r="I26" s="20">
        <v>2.0</v>
      </c>
      <c r="J26" s="23"/>
      <c r="K26" s="50" t="s">
        <v>415</v>
      </c>
      <c r="L26" s="50" t="s">
        <v>386</v>
      </c>
    </row>
    <row r="27">
      <c r="A27" s="15">
        <v>26.0</v>
      </c>
      <c r="B27" s="48" t="s">
        <v>108</v>
      </c>
      <c r="C27" s="15" t="s">
        <v>109</v>
      </c>
      <c r="D27" s="59" t="s">
        <v>416</v>
      </c>
      <c r="E27" s="20"/>
      <c r="F27" s="20">
        <f t="shared" si="1"/>
        <v>9</v>
      </c>
      <c r="G27" s="20">
        <v>2.0</v>
      </c>
      <c r="H27" s="20">
        <v>4.0</v>
      </c>
      <c r="I27" s="20">
        <v>3.0</v>
      </c>
      <c r="J27" s="23"/>
      <c r="K27" s="4" t="s">
        <v>50</v>
      </c>
      <c r="L27" s="4" t="s">
        <v>386</v>
      </c>
    </row>
    <row r="28">
      <c r="A28" s="15">
        <v>27.0</v>
      </c>
      <c r="B28" s="56" t="s">
        <v>35</v>
      </c>
      <c r="C28" s="19" t="s">
        <v>36</v>
      </c>
      <c r="D28" s="20"/>
      <c r="E28" s="19" t="s">
        <v>417</v>
      </c>
      <c r="F28" s="20">
        <f t="shared" si="1"/>
        <v>12</v>
      </c>
      <c r="G28" s="19">
        <v>3.0</v>
      </c>
      <c r="H28" s="19">
        <v>4.0</v>
      </c>
      <c r="I28" s="19">
        <v>5.0</v>
      </c>
      <c r="J28" s="23"/>
      <c r="K28" s="50" t="s">
        <v>49</v>
      </c>
      <c r="L28" s="50" t="s">
        <v>57</v>
      </c>
    </row>
    <row r="29">
      <c r="A29" s="15">
        <v>28.0</v>
      </c>
      <c r="B29" s="48" t="s">
        <v>82</v>
      </c>
      <c r="C29" s="15" t="s">
        <v>66</v>
      </c>
      <c r="D29" s="20" t="s">
        <v>418</v>
      </c>
      <c r="E29" s="20" t="s">
        <v>419</v>
      </c>
      <c r="F29" s="20">
        <f t="shared" si="1"/>
        <v>11</v>
      </c>
      <c r="G29" s="20">
        <v>8.0</v>
      </c>
      <c r="H29" s="20">
        <v>2.0</v>
      </c>
      <c r="I29" s="20">
        <v>1.0</v>
      </c>
      <c r="J29" s="23"/>
      <c r="K29" s="50" t="s">
        <v>420</v>
      </c>
      <c r="L29" s="50" t="s">
        <v>75</v>
      </c>
    </row>
    <row r="30">
      <c r="A30" s="15">
        <v>29.0</v>
      </c>
      <c r="B30" s="48" t="s">
        <v>136</v>
      </c>
      <c r="C30" s="15" t="s">
        <v>66</v>
      </c>
      <c r="D30" s="59" t="s">
        <v>418</v>
      </c>
      <c r="E30" s="59" t="s">
        <v>419</v>
      </c>
      <c r="F30" s="20">
        <f t="shared" si="1"/>
        <v>8</v>
      </c>
      <c r="G30" s="20">
        <v>2.0</v>
      </c>
      <c r="H30" s="20">
        <v>3.0</v>
      </c>
      <c r="I30" s="20">
        <v>3.0</v>
      </c>
      <c r="J30" s="23"/>
      <c r="K30" s="50" t="s">
        <v>421</v>
      </c>
      <c r="L30" s="50" t="s">
        <v>75</v>
      </c>
    </row>
    <row r="31">
      <c r="A31" s="15">
        <v>30.0</v>
      </c>
      <c r="B31" s="48" t="s">
        <v>422</v>
      </c>
      <c r="C31" s="15" t="s">
        <v>30</v>
      </c>
      <c r="D31" s="59" t="s">
        <v>423</v>
      </c>
      <c r="E31" s="60"/>
      <c r="F31" s="20">
        <f t="shared" si="1"/>
        <v>0</v>
      </c>
      <c r="G31" s="15"/>
      <c r="H31" s="20"/>
      <c r="I31" s="20"/>
      <c r="J31" s="23"/>
      <c r="K31" s="18" t="s">
        <v>424</v>
      </c>
      <c r="L31" s="4" t="s">
        <v>173</v>
      </c>
    </row>
    <row r="32">
      <c r="A32" s="15">
        <v>31.0</v>
      </c>
      <c r="B32" s="48" t="s">
        <v>425</v>
      </c>
      <c r="C32" s="15" t="s">
        <v>30</v>
      </c>
      <c r="D32" s="15" t="s">
        <v>426</v>
      </c>
      <c r="E32" s="15"/>
      <c r="F32" s="20">
        <f t="shared" si="1"/>
        <v>0</v>
      </c>
      <c r="G32" s="15"/>
      <c r="H32" s="20"/>
      <c r="I32" s="20"/>
      <c r="J32" s="23"/>
      <c r="K32" s="50" t="s">
        <v>427</v>
      </c>
      <c r="L32" s="50" t="s">
        <v>57</v>
      </c>
    </row>
    <row r="33">
      <c r="A33" s="15">
        <v>32.0</v>
      </c>
      <c r="B33" s="56" t="s">
        <v>62</v>
      </c>
      <c r="C33" s="19" t="s">
        <v>14</v>
      </c>
      <c r="D33" s="20"/>
      <c r="E33" s="20"/>
      <c r="F33" s="20">
        <f t="shared" si="1"/>
        <v>6</v>
      </c>
      <c r="G33" s="19">
        <v>2.0</v>
      </c>
      <c r="H33" s="19">
        <v>2.0</v>
      </c>
      <c r="I33" s="19">
        <v>2.0</v>
      </c>
      <c r="J33" s="23"/>
      <c r="K33" s="50" t="s">
        <v>138</v>
      </c>
      <c r="L33" s="50" t="s">
        <v>75</v>
      </c>
    </row>
    <row r="34">
      <c r="A34" s="15">
        <v>33.0</v>
      </c>
      <c r="B34" s="48" t="s">
        <v>185</v>
      </c>
      <c r="C34" s="15" t="s">
        <v>186</v>
      </c>
      <c r="D34" s="15"/>
      <c r="E34" s="15"/>
      <c r="F34" s="20">
        <f t="shared" si="1"/>
        <v>3</v>
      </c>
      <c r="G34" s="15">
        <v>0.0</v>
      </c>
      <c r="H34" s="20">
        <v>2.0</v>
      </c>
      <c r="I34" s="20">
        <v>1.0</v>
      </c>
      <c r="J34" s="23"/>
    </row>
    <row r="35">
      <c r="A35" s="15">
        <v>34.0</v>
      </c>
      <c r="B35" s="48" t="s">
        <v>103</v>
      </c>
      <c r="C35" s="15" t="s">
        <v>39</v>
      </c>
      <c r="D35" s="20"/>
      <c r="E35" s="20"/>
      <c r="F35" s="20">
        <f t="shared" si="1"/>
        <v>3</v>
      </c>
      <c r="G35" s="20">
        <v>1.0</v>
      </c>
      <c r="H35" s="20">
        <v>0.0</v>
      </c>
      <c r="I35" s="20">
        <v>2.0</v>
      </c>
      <c r="J35" s="23"/>
      <c r="K35" s="23"/>
    </row>
    <row r="36">
      <c r="A36" s="15">
        <v>35.0</v>
      </c>
      <c r="B36" s="48" t="s">
        <v>216</v>
      </c>
      <c r="C36" s="15" t="s">
        <v>192</v>
      </c>
      <c r="D36" s="15"/>
      <c r="E36" s="20"/>
      <c r="F36" s="20">
        <f t="shared" si="1"/>
        <v>2</v>
      </c>
      <c r="G36" s="20">
        <v>0.0</v>
      </c>
      <c r="H36" s="20">
        <v>2.0</v>
      </c>
      <c r="I36" s="20">
        <v>0.0</v>
      </c>
      <c r="J36" s="23"/>
      <c r="K36" s="23"/>
    </row>
    <row r="37">
      <c r="A37" s="15">
        <v>36.0</v>
      </c>
      <c r="B37" s="48" t="s">
        <v>22</v>
      </c>
      <c r="C37" s="15" t="s">
        <v>23</v>
      </c>
      <c r="D37" s="59" t="s">
        <v>428</v>
      </c>
      <c r="E37" s="59" t="s">
        <v>429</v>
      </c>
      <c r="F37" s="20">
        <f t="shared" si="1"/>
        <v>6</v>
      </c>
      <c r="G37" s="15">
        <v>2.0</v>
      </c>
      <c r="H37" s="20">
        <v>4.0</v>
      </c>
      <c r="I37" s="20">
        <v>0.0</v>
      </c>
      <c r="J37" s="23"/>
      <c r="K37" s="23"/>
    </row>
    <row r="38">
      <c r="A38" s="15">
        <v>37.0</v>
      </c>
      <c r="B38" s="48" t="s">
        <v>191</v>
      </c>
      <c r="C38" s="15" t="s">
        <v>192</v>
      </c>
      <c r="D38" s="20"/>
      <c r="E38" s="60" t="s">
        <v>430</v>
      </c>
      <c r="F38" s="20">
        <f t="shared" si="1"/>
        <v>3</v>
      </c>
      <c r="G38" s="15">
        <v>0.0</v>
      </c>
      <c r="H38" s="20">
        <v>3.0</v>
      </c>
      <c r="I38" s="20">
        <v>0.0</v>
      </c>
      <c r="J38" s="23"/>
      <c r="K38" s="23"/>
    </row>
    <row r="39">
      <c r="A39" s="15">
        <v>38.0</v>
      </c>
      <c r="B39" s="48" t="s">
        <v>431</v>
      </c>
      <c r="C39" s="15" t="s">
        <v>14</v>
      </c>
      <c r="D39" s="20" t="s">
        <v>432</v>
      </c>
      <c r="E39" s="20"/>
      <c r="F39" s="20">
        <f t="shared" si="1"/>
        <v>1</v>
      </c>
      <c r="G39" s="15">
        <v>0.0</v>
      </c>
      <c r="H39" s="20">
        <v>1.0</v>
      </c>
      <c r="I39" s="20">
        <v>0.0</v>
      </c>
      <c r="J39" s="23"/>
      <c r="K39" s="23"/>
    </row>
    <row r="40">
      <c r="A40" s="19">
        <v>39.0</v>
      </c>
      <c r="B40" s="56" t="s">
        <v>433</v>
      </c>
      <c r="C40" s="19" t="s">
        <v>434</v>
      </c>
      <c r="D40" s="61">
        <v>44866.0</v>
      </c>
      <c r="E40" s="15"/>
      <c r="F40" s="20">
        <f t="shared" si="1"/>
        <v>1</v>
      </c>
      <c r="G40" s="15"/>
      <c r="H40" s="19">
        <v>1.0</v>
      </c>
      <c r="I40" s="20"/>
      <c r="J40" s="23"/>
      <c r="K40" s="23"/>
    </row>
    <row r="41">
      <c r="A41" s="15">
        <v>39.0</v>
      </c>
      <c r="B41" s="48" t="s">
        <v>199</v>
      </c>
      <c r="C41" s="15" t="s">
        <v>435</v>
      </c>
      <c r="D41" s="15"/>
      <c r="E41" s="15"/>
      <c r="F41" s="20">
        <f t="shared" si="1"/>
        <v>0</v>
      </c>
      <c r="G41" s="15">
        <v>0.0</v>
      </c>
      <c r="H41" s="20">
        <v>0.0</v>
      </c>
      <c r="I41" s="20">
        <v>0.0</v>
      </c>
      <c r="J41" s="23"/>
      <c r="K41" s="23"/>
    </row>
    <row r="42">
      <c r="A42" s="15">
        <v>40.0</v>
      </c>
      <c r="B42" s="18" t="s">
        <v>187</v>
      </c>
      <c r="C42" s="19" t="s">
        <v>188</v>
      </c>
      <c r="D42" s="15"/>
      <c r="E42" s="61">
        <v>44594.0</v>
      </c>
      <c r="F42" s="20">
        <f t="shared" si="1"/>
        <v>3</v>
      </c>
      <c r="G42" s="15"/>
      <c r="H42" s="19">
        <v>3.0</v>
      </c>
      <c r="I42" s="20"/>
      <c r="J42" s="23"/>
      <c r="K42" s="23"/>
    </row>
    <row r="43">
      <c r="A43" s="15">
        <v>41.0</v>
      </c>
      <c r="B43" s="56" t="s">
        <v>271</v>
      </c>
      <c r="C43" s="19" t="s">
        <v>263</v>
      </c>
      <c r="D43" s="49"/>
      <c r="E43" s="19" t="s">
        <v>436</v>
      </c>
      <c r="F43" s="20">
        <f t="shared" si="1"/>
        <v>1</v>
      </c>
      <c r="G43" s="15"/>
      <c r="H43" s="19">
        <v>1.0</v>
      </c>
      <c r="I43" s="20"/>
      <c r="J43" s="23"/>
      <c r="K43" s="23"/>
    </row>
    <row r="44">
      <c r="A44" s="15">
        <v>42.0</v>
      </c>
      <c r="B44" s="48" t="s">
        <v>437</v>
      </c>
      <c r="C44" s="15" t="s">
        <v>39</v>
      </c>
      <c r="D44" s="49" t="s">
        <v>438</v>
      </c>
      <c r="E44" s="15"/>
      <c r="F44" s="20">
        <f t="shared" si="1"/>
        <v>0</v>
      </c>
      <c r="G44" s="15">
        <v>0.0</v>
      </c>
      <c r="H44" s="20">
        <v>0.0</v>
      </c>
      <c r="I44" s="20">
        <v>0.0</v>
      </c>
      <c r="J44" s="23"/>
      <c r="K44" s="23"/>
    </row>
    <row r="45">
      <c r="A45" s="15">
        <v>43.0</v>
      </c>
      <c r="B45" s="48" t="s">
        <v>98</v>
      </c>
      <c r="C45" s="15" t="s">
        <v>94</v>
      </c>
      <c r="D45" s="54">
        <v>44326.0</v>
      </c>
      <c r="E45" s="54">
        <v>44357.0</v>
      </c>
      <c r="F45" s="20">
        <f t="shared" si="1"/>
        <v>2</v>
      </c>
      <c r="G45" s="20">
        <v>1.0</v>
      </c>
      <c r="H45" s="20">
        <v>1.0</v>
      </c>
      <c r="I45" s="20">
        <v>0.0</v>
      </c>
      <c r="J45" s="23"/>
      <c r="K45" s="23"/>
    </row>
    <row r="46">
      <c r="A46" s="15">
        <v>44.0</v>
      </c>
      <c r="B46" s="48" t="s">
        <v>130</v>
      </c>
      <c r="C46" s="15" t="s">
        <v>131</v>
      </c>
      <c r="D46" s="54"/>
      <c r="E46" s="15"/>
      <c r="F46" s="20">
        <f t="shared" si="1"/>
        <v>14</v>
      </c>
      <c r="G46" s="15">
        <v>4.0</v>
      </c>
      <c r="H46" s="20">
        <v>3.0</v>
      </c>
      <c r="I46" s="20">
        <v>7.0</v>
      </c>
      <c r="J46" s="23"/>
      <c r="K46" s="23"/>
    </row>
    <row r="47">
      <c r="A47" s="15">
        <v>45.0</v>
      </c>
      <c r="B47" s="48" t="s">
        <v>225</v>
      </c>
      <c r="C47" s="15" t="s">
        <v>73</v>
      </c>
      <c r="D47" s="54"/>
      <c r="E47" s="15"/>
      <c r="F47" s="20">
        <f t="shared" si="1"/>
        <v>1</v>
      </c>
      <c r="G47" s="15">
        <v>0.0</v>
      </c>
      <c r="H47" s="20">
        <v>1.0</v>
      </c>
      <c r="I47" s="20">
        <v>0.0</v>
      </c>
      <c r="J47" s="23"/>
      <c r="K47" s="23"/>
    </row>
    <row r="48">
      <c r="A48" s="15">
        <v>46.0</v>
      </c>
      <c r="B48" s="48" t="s">
        <v>45</v>
      </c>
      <c r="C48" s="15" t="s">
        <v>46</v>
      </c>
      <c r="D48" s="54"/>
      <c r="E48" s="60"/>
      <c r="F48" s="20">
        <f t="shared" si="1"/>
        <v>23</v>
      </c>
      <c r="G48" s="15">
        <v>11.0</v>
      </c>
      <c r="H48" s="20">
        <v>5.0</v>
      </c>
      <c r="I48" s="20">
        <v>7.0</v>
      </c>
      <c r="J48" s="23"/>
      <c r="K48" s="23"/>
    </row>
    <row r="49">
      <c r="A49" s="15">
        <v>47.0</v>
      </c>
      <c r="B49" s="48" t="s">
        <v>44</v>
      </c>
      <c r="C49" s="15" t="s">
        <v>42</v>
      </c>
      <c r="D49" s="15" t="s">
        <v>439</v>
      </c>
      <c r="E49" s="15" t="s">
        <v>440</v>
      </c>
      <c r="F49" s="20">
        <f t="shared" si="1"/>
        <v>14</v>
      </c>
      <c r="G49" s="20">
        <v>4.0</v>
      </c>
      <c r="H49" s="20">
        <v>1.0</v>
      </c>
      <c r="I49" s="20">
        <v>9.0</v>
      </c>
      <c r="J49" s="23"/>
      <c r="K49" s="23"/>
    </row>
    <row r="50">
      <c r="A50" s="15">
        <v>48.0</v>
      </c>
      <c r="B50" s="48" t="s">
        <v>41</v>
      </c>
      <c r="C50" s="15" t="s">
        <v>42</v>
      </c>
      <c r="D50" s="49">
        <v>44136.0</v>
      </c>
      <c r="E50" s="15" t="s">
        <v>441</v>
      </c>
      <c r="F50" s="20">
        <f t="shared" si="1"/>
        <v>11</v>
      </c>
      <c r="G50" s="15">
        <v>4.0</v>
      </c>
      <c r="H50" s="20">
        <v>4.0</v>
      </c>
      <c r="I50" s="20">
        <v>3.0</v>
      </c>
      <c r="J50" s="23"/>
      <c r="K50" s="23"/>
    </row>
    <row r="51">
      <c r="A51" s="15">
        <v>49.0</v>
      </c>
      <c r="B51" s="48" t="s">
        <v>321</v>
      </c>
      <c r="C51" s="15" t="s">
        <v>94</v>
      </c>
      <c r="D51" s="15" t="s">
        <v>442</v>
      </c>
      <c r="E51" s="15"/>
      <c r="F51" s="20">
        <f t="shared" si="1"/>
        <v>2</v>
      </c>
      <c r="G51" s="15">
        <v>0.0</v>
      </c>
      <c r="H51" s="20">
        <v>0.0</v>
      </c>
      <c r="I51" s="20">
        <v>2.0</v>
      </c>
      <c r="J51" s="23"/>
      <c r="K51" s="23"/>
    </row>
    <row r="52">
      <c r="A52" s="15">
        <v>50.0</v>
      </c>
      <c r="B52" s="48" t="s">
        <v>443</v>
      </c>
      <c r="C52" s="15" t="s">
        <v>39</v>
      </c>
      <c r="D52" s="54">
        <v>44509.0</v>
      </c>
      <c r="E52" s="15" t="s">
        <v>401</v>
      </c>
      <c r="F52" s="20">
        <f t="shared" si="1"/>
        <v>13</v>
      </c>
      <c r="G52" s="20">
        <v>4.0</v>
      </c>
      <c r="H52" s="20">
        <v>0.0</v>
      </c>
      <c r="I52" s="20">
        <v>9.0</v>
      </c>
      <c r="J52" s="23"/>
      <c r="K52" s="23"/>
    </row>
    <row r="53">
      <c r="A53" s="15">
        <v>51.0</v>
      </c>
      <c r="B53" s="48" t="s">
        <v>443</v>
      </c>
      <c r="C53" s="15" t="s">
        <v>32</v>
      </c>
      <c r="D53" s="54">
        <v>44509.0</v>
      </c>
      <c r="E53" s="15" t="s">
        <v>401</v>
      </c>
      <c r="F53" s="20">
        <f t="shared" si="1"/>
        <v>10</v>
      </c>
      <c r="G53" s="15">
        <v>1.0</v>
      </c>
      <c r="H53" s="20">
        <v>7.0</v>
      </c>
      <c r="I53" s="20">
        <v>2.0</v>
      </c>
      <c r="J53" s="23"/>
      <c r="K53" s="23"/>
    </row>
    <row r="54">
      <c r="A54" s="15">
        <v>52.0</v>
      </c>
      <c r="B54" s="48" t="s">
        <v>443</v>
      </c>
      <c r="C54" s="15" t="s">
        <v>73</v>
      </c>
      <c r="D54" s="54">
        <v>44509.0</v>
      </c>
      <c r="E54" s="54" t="s">
        <v>401</v>
      </c>
      <c r="F54" s="20">
        <f t="shared" si="1"/>
        <v>4</v>
      </c>
      <c r="G54" s="15">
        <v>2.0</v>
      </c>
      <c r="H54" s="20">
        <v>1.0</v>
      </c>
      <c r="I54" s="20">
        <v>1.0</v>
      </c>
      <c r="J54" s="23"/>
      <c r="K54" s="23"/>
    </row>
    <row r="55">
      <c r="A55" s="15">
        <v>53.0</v>
      </c>
      <c r="B55" s="18" t="s">
        <v>15</v>
      </c>
      <c r="C55" s="19" t="s">
        <v>16</v>
      </c>
      <c r="D55" s="20"/>
      <c r="E55" s="20"/>
      <c r="F55" s="19">
        <v>2.0</v>
      </c>
      <c r="G55" s="19">
        <v>0.0</v>
      </c>
      <c r="H55" s="19">
        <v>1.0</v>
      </c>
      <c r="I55" s="19">
        <v>1.0</v>
      </c>
      <c r="J55" s="23"/>
      <c r="K55" s="23"/>
    </row>
    <row r="56">
      <c r="A56" s="15">
        <v>54.0</v>
      </c>
      <c r="B56" s="56" t="s">
        <v>337</v>
      </c>
      <c r="C56" s="19" t="s">
        <v>28</v>
      </c>
      <c r="D56" s="19" t="s">
        <v>444</v>
      </c>
      <c r="E56" s="19" t="s">
        <v>445</v>
      </c>
      <c r="F56" s="20">
        <f t="shared" ref="F56:F60" si="2">sum(G56:I56)</f>
        <v>1</v>
      </c>
      <c r="G56" s="20"/>
      <c r="H56" s="20"/>
      <c r="I56" s="19">
        <v>1.0</v>
      </c>
      <c r="J56" s="23"/>
      <c r="K56" s="23"/>
    </row>
    <row r="57">
      <c r="A57" s="15">
        <v>55.0</v>
      </c>
      <c r="B57" s="48" t="s">
        <v>446</v>
      </c>
      <c r="C57" s="15" t="s">
        <v>447</v>
      </c>
      <c r="D57" s="20" t="s">
        <v>448</v>
      </c>
      <c r="E57" s="20" t="s">
        <v>449</v>
      </c>
      <c r="F57" s="20">
        <f t="shared" si="2"/>
        <v>1</v>
      </c>
      <c r="G57" s="20">
        <v>0.0</v>
      </c>
      <c r="H57" s="20">
        <v>0.0</v>
      </c>
      <c r="I57" s="20">
        <v>1.0</v>
      </c>
      <c r="J57" s="23"/>
      <c r="K57" s="23"/>
    </row>
    <row r="58">
      <c r="A58" s="15">
        <v>56.0</v>
      </c>
      <c r="B58" s="48" t="s">
        <v>31</v>
      </c>
      <c r="C58" s="15" t="s">
        <v>450</v>
      </c>
      <c r="D58" s="20"/>
      <c r="E58" s="20"/>
      <c r="F58" s="20">
        <f t="shared" si="2"/>
        <v>3</v>
      </c>
      <c r="G58" s="20">
        <v>2.0</v>
      </c>
      <c r="H58" s="20">
        <v>1.0</v>
      </c>
      <c r="I58" s="20">
        <v>0.0</v>
      </c>
      <c r="J58" s="23"/>
      <c r="K58" s="23"/>
    </row>
    <row r="59">
      <c r="A59" s="15">
        <v>57.0</v>
      </c>
      <c r="B59" s="48" t="s">
        <v>415</v>
      </c>
      <c r="C59" s="15" t="s">
        <v>54</v>
      </c>
      <c r="D59" s="15" t="s">
        <v>451</v>
      </c>
      <c r="E59" s="20" t="s">
        <v>452</v>
      </c>
      <c r="F59" s="20">
        <f t="shared" si="2"/>
        <v>10</v>
      </c>
      <c r="G59" s="20">
        <v>6.0</v>
      </c>
      <c r="H59" s="20">
        <v>2.0</v>
      </c>
      <c r="I59" s="20">
        <v>2.0</v>
      </c>
      <c r="J59" s="23"/>
      <c r="K59" s="23"/>
    </row>
    <row r="60">
      <c r="A60" s="15">
        <v>58.0</v>
      </c>
      <c r="B60" s="48" t="s">
        <v>29</v>
      </c>
      <c r="C60" s="15" t="s">
        <v>30</v>
      </c>
      <c r="D60" s="15" t="s">
        <v>453</v>
      </c>
      <c r="E60" s="15" t="s">
        <v>454</v>
      </c>
      <c r="F60" s="20">
        <f t="shared" si="2"/>
        <v>9</v>
      </c>
      <c r="G60" s="15">
        <v>3.0</v>
      </c>
      <c r="H60" s="20">
        <v>4.0</v>
      </c>
      <c r="I60" s="20">
        <v>2.0</v>
      </c>
      <c r="J60" s="23"/>
      <c r="K60" s="23"/>
    </row>
    <row r="61">
      <c r="A61" s="15">
        <v>59.0</v>
      </c>
      <c r="B61" s="4" t="s">
        <v>149</v>
      </c>
      <c r="C61" s="5" t="s">
        <v>73</v>
      </c>
      <c r="D61" s="7"/>
      <c r="E61" s="7"/>
      <c r="F61" s="5">
        <v>2.0</v>
      </c>
      <c r="G61" s="5">
        <v>1.0</v>
      </c>
      <c r="H61" s="5">
        <v>0.0</v>
      </c>
      <c r="I61" s="5">
        <v>1.0</v>
      </c>
      <c r="J61" s="23"/>
      <c r="K61" s="23"/>
    </row>
    <row r="62">
      <c r="A62" s="15">
        <v>60.0</v>
      </c>
      <c r="B62" s="48" t="s">
        <v>50</v>
      </c>
      <c r="C62" s="19" t="s">
        <v>51</v>
      </c>
      <c r="D62" s="15" t="s">
        <v>455</v>
      </c>
      <c r="E62" s="15"/>
      <c r="F62" s="20">
        <f t="shared" ref="F62:F71" si="3">sum(G62:I62)</f>
        <v>6</v>
      </c>
      <c r="G62" s="19">
        <v>1.0</v>
      </c>
      <c r="H62" s="19">
        <v>1.0</v>
      </c>
      <c r="I62" s="19">
        <v>4.0</v>
      </c>
      <c r="J62" s="23"/>
      <c r="K62" s="23"/>
    </row>
    <row r="63">
      <c r="A63" s="15">
        <v>61.0</v>
      </c>
      <c r="B63" s="48" t="s">
        <v>50</v>
      </c>
      <c r="C63" s="19" t="s">
        <v>447</v>
      </c>
      <c r="D63" s="20" t="s">
        <v>455</v>
      </c>
      <c r="E63" s="54"/>
      <c r="F63" s="20">
        <f t="shared" si="3"/>
        <v>0</v>
      </c>
      <c r="G63" s="19">
        <v>0.0</v>
      </c>
      <c r="H63" s="19">
        <v>0.0</v>
      </c>
      <c r="I63" s="19">
        <v>0.0</v>
      </c>
      <c r="J63" s="23"/>
      <c r="K63" s="23"/>
    </row>
    <row r="64">
      <c r="A64" s="15">
        <v>62.0</v>
      </c>
      <c r="B64" s="48" t="s">
        <v>177</v>
      </c>
      <c r="C64" s="15" t="s">
        <v>34</v>
      </c>
      <c r="D64" s="54"/>
      <c r="E64" s="15" t="s">
        <v>456</v>
      </c>
      <c r="F64" s="20">
        <f t="shared" si="3"/>
        <v>6</v>
      </c>
      <c r="G64" s="20">
        <v>0.0</v>
      </c>
      <c r="H64" s="20">
        <v>4.0</v>
      </c>
      <c r="I64" s="19">
        <v>2.0</v>
      </c>
      <c r="J64" s="23"/>
      <c r="K64" s="23"/>
    </row>
    <row r="65">
      <c r="A65" s="15">
        <v>63.0</v>
      </c>
      <c r="B65" s="48" t="s">
        <v>49</v>
      </c>
      <c r="C65" s="15" t="s">
        <v>30</v>
      </c>
      <c r="D65" s="20"/>
      <c r="E65" s="20"/>
      <c r="F65" s="20">
        <f t="shared" si="3"/>
        <v>4</v>
      </c>
      <c r="G65" s="20">
        <v>2.0</v>
      </c>
      <c r="H65" s="20">
        <v>0.0</v>
      </c>
      <c r="I65" s="20">
        <v>2.0</v>
      </c>
      <c r="J65" s="23"/>
      <c r="K65" s="23"/>
    </row>
    <row r="66">
      <c r="A66" s="15">
        <v>64.0</v>
      </c>
      <c r="B66" s="48" t="s">
        <v>56</v>
      </c>
      <c r="C66" s="15" t="s">
        <v>57</v>
      </c>
      <c r="D66" s="52"/>
      <c r="E66" s="49"/>
      <c r="F66" s="20">
        <f t="shared" si="3"/>
        <v>1</v>
      </c>
      <c r="G66" s="15">
        <v>1.0</v>
      </c>
      <c r="H66" s="20">
        <v>0.0</v>
      </c>
      <c r="I66" s="20">
        <v>0.0</v>
      </c>
      <c r="J66" s="23"/>
      <c r="K66" s="23"/>
    </row>
    <row r="67">
      <c r="A67" s="15">
        <v>65.0</v>
      </c>
      <c r="B67" s="48" t="s">
        <v>104</v>
      </c>
      <c r="C67" s="20" t="s">
        <v>75</v>
      </c>
      <c r="D67" s="20" t="s">
        <v>416</v>
      </c>
      <c r="E67" s="20"/>
      <c r="F67" s="20">
        <f t="shared" si="3"/>
        <v>2</v>
      </c>
      <c r="G67" s="15">
        <v>2.0</v>
      </c>
      <c r="H67" s="20">
        <v>0.0</v>
      </c>
      <c r="I67" s="20">
        <v>0.0</v>
      </c>
      <c r="J67" s="23"/>
      <c r="K67" s="23"/>
    </row>
    <row r="68">
      <c r="A68" s="15">
        <v>66.0</v>
      </c>
      <c r="B68" s="48" t="s">
        <v>346</v>
      </c>
      <c r="C68" s="19" t="s">
        <v>457</v>
      </c>
      <c r="D68" s="20" t="s">
        <v>458</v>
      </c>
      <c r="E68" s="20" t="s">
        <v>459</v>
      </c>
      <c r="F68" s="20">
        <f t="shared" si="3"/>
        <v>2</v>
      </c>
      <c r="G68" s="15">
        <v>0.0</v>
      </c>
      <c r="H68" s="20">
        <v>0.0</v>
      </c>
      <c r="I68" s="20">
        <v>2.0</v>
      </c>
      <c r="J68" s="23"/>
      <c r="K68" s="23"/>
    </row>
    <row r="69">
      <c r="A69" s="15">
        <v>67.0</v>
      </c>
      <c r="B69" s="48" t="s">
        <v>156</v>
      </c>
      <c r="C69" s="62" t="s">
        <v>457</v>
      </c>
      <c r="D69" s="20" t="s">
        <v>458</v>
      </c>
      <c r="E69" s="20" t="s">
        <v>459</v>
      </c>
      <c r="F69" s="20">
        <f t="shared" si="3"/>
        <v>4</v>
      </c>
      <c r="G69" s="20">
        <v>1.0</v>
      </c>
      <c r="H69" s="20">
        <v>1.0</v>
      </c>
      <c r="I69" s="20">
        <v>2.0</v>
      </c>
      <c r="J69" s="23"/>
      <c r="K69" s="23"/>
    </row>
    <row r="70">
      <c r="A70" s="15">
        <v>68.0</v>
      </c>
      <c r="B70" s="48" t="s">
        <v>460</v>
      </c>
      <c r="C70" s="15" t="s">
        <v>195</v>
      </c>
      <c r="D70" s="61">
        <v>44449.0</v>
      </c>
      <c r="E70" s="63">
        <v>44359.0</v>
      </c>
      <c r="F70" s="20">
        <f t="shared" si="3"/>
        <v>2</v>
      </c>
      <c r="G70" s="20"/>
      <c r="H70" s="19">
        <v>1.0</v>
      </c>
      <c r="I70" s="19">
        <v>1.0</v>
      </c>
      <c r="J70" s="23"/>
      <c r="K70" s="23"/>
    </row>
    <row r="71">
      <c r="A71" s="15">
        <v>69.0</v>
      </c>
      <c r="B71" s="48" t="s">
        <v>222</v>
      </c>
      <c r="C71" s="15" t="s">
        <v>30</v>
      </c>
      <c r="D71" s="54">
        <v>44449.0</v>
      </c>
      <c r="E71" s="20" t="s">
        <v>461</v>
      </c>
      <c r="F71" s="20">
        <f t="shared" si="3"/>
        <v>4</v>
      </c>
      <c r="G71" s="20">
        <v>1.0</v>
      </c>
      <c r="H71" s="20">
        <v>2.0</v>
      </c>
      <c r="I71" s="20">
        <v>1.0</v>
      </c>
      <c r="J71" s="23"/>
      <c r="K71" s="23"/>
    </row>
    <row r="72">
      <c r="A72" s="15">
        <v>70.0</v>
      </c>
      <c r="B72" s="4" t="s">
        <v>462</v>
      </c>
      <c r="C72" s="5" t="s">
        <v>463</v>
      </c>
      <c r="D72" s="7"/>
      <c r="E72" s="7"/>
      <c r="F72" s="5">
        <v>5.0</v>
      </c>
      <c r="G72" s="5">
        <v>3.0</v>
      </c>
      <c r="H72" s="5">
        <v>1.0</v>
      </c>
      <c r="I72" s="5">
        <v>1.0</v>
      </c>
      <c r="J72" s="23"/>
      <c r="K72" s="23"/>
    </row>
    <row r="73">
      <c r="A73" s="15">
        <v>71.0</v>
      </c>
      <c r="B73" s="48" t="s">
        <v>427</v>
      </c>
      <c r="C73" s="15" t="s">
        <v>142</v>
      </c>
      <c r="D73" s="54"/>
      <c r="E73" s="57"/>
      <c r="F73" s="20">
        <f t="shared" ref="F73:F80" si="4">sum(G73:I73)</f>
        <v>3</v>
      </c>
      <c r="G73" s="20">
        <v>1.0</v>
      </c>
      <c r="H73" s="20">
        <v>2.0</v>
      </c>
      <c r="I73" s="20">
        <v>0.0</v>
      </c>
      <c r="J73" s="23"/>
      <c r="K73" s="23"/>
    </row>
    <row r="74">
      <c r="A74" s="15">
        <v>72.0</v>
      </c>
      <c r="B74" s="51" t="s">
        <v>138</v>
      </c>
      <c r="C74" s="20" t="s">
        <v>139</v>
      </c>
      <c r="D74" s="52">
        <v>44418.0</v>
      </c>
      <c r="E74" s="49">
        <v>44420.0</v>
      </c>
      <c r="F74" s="20">
        <f t="shared" si="4"/>
        <v>3</v>
      </c>
      <c r="G74" s="20">
        <v>2.0</v>
      </c>
      <c r="H74" s="20">
        <v>1.0</v>
      </c>
      <c r="I74" s="20">
        <v>0.0</v>
      </c>
      <c r="J74" s="23"/>
      <c r="K74" s="23"/>
    </row>
    <row r="75">
      <c r="A75" s="15">
        <v>73.0</v>
      </c>
      <c r="B75" s="51" t="s">
        <v>464</v>
      </c>
      <c r="C75" s="20"/>
      <c r="D75" s="20"/>
      <c r="E75" s="20"/>
      <c r="F75" s="20">
        <f t="shared" si="4"/>
        <v>0</v>
      </c>
      <c r="G75" s="20"/>
      <c r="H75" s="20"/>
      <c r="I75" s="20"/>
      <c r="J75" s="23"/>
      <c r="K75" s="23"/>
    </row>
    <row r="76">
      <c r="A76" s="15">
        <v>74.0</v>
      </c>
      <c r="B76" s="51" t="s">
        <v>465</v>
      </c>
      <c r="C76" s="20" t="s">
        <v>331</v>
      </c>
      <c r="D76" s="20"/>
      <c r="E76" s="20"/>
      <c r="F76" s="20">
        <f t="shared" si="4"/>
        <v>3</v>
      </c>
      <c r="G76" s="20"/>
      <c r="H76" s="20"/>
      <c r="I76" s="19">
        <v>3.0</v>
      </c>
      <c r="J76" s="23"/>
      <c r="K76" s="23"/>
    </row>
    <row r="77">
      <c r="A77" s="15">
        <v>75.0</v>
      </c>
      <c r="B77" s="51" t="s">
        <v>212</v>
      </c>
      <c r="C77" s="44">
        <v>45000.0</v>
      </c>
      <c r="D77" s="20"/>
      <c r="E77" s="20"/>
      <c r="F77" s="20">
        <f t="shared" si="4"/>
        <v>2</v>
      </c>
      <c r="G77" s="20">
        <v>0.0</v>
      </c>
      <c r="H77" s="20">
        <v>2.0</v>
      </c>
      <c r="I77" s="20">
        <v>0.0</v>
      </c>
      <c r="J77" s="23"/>
      <c r="K77" s="23"/>
    </row>
    <row r="78">
      <c r="A78" s="15">
        <v>76.0</v>
      </c>
      <c r="B78" s="51" t="s">
        <v>95</v>
      </c>
      <c r="C78" s="20" t="s">
        <v>466</v>
      </c>
      <c r="D78" s="20"/>
      <c r="E78" s="20"/>
      <c r="F78" s="20">
        <f t="shared" si="4"/>
        <v>1</v>
      </c>
      <c r="G78" s="20">
        <v>1.0</v>
      </c>
      <c r="H78" s="20">
        <v>0.0</v>
      </c>
      <c r="I78" s="20">
        <v>0.0</v>
      </c>
      <c r="J78" s="23"/>
      <c r="K78" s="23"/>
    </row>
    <row r="79">
      <c r="A79" s="15">
        <v>77.0</v>
      </c>
      <c r="B79" s="51" t="s">
        <v>33</v>
      </c>
      <c r="C79" s="20" t="s">
        <v>331</v>
      </c>
      <c r="D79" s="20"/>
      <c r="E79" s="20"/>
      <c r="F79" s="20">
        <f t="shared" si="4"/>
        <v>33</v>
      </c>
      <c r="G79" s="20">
        <v>11.0</v>
      </c>
      <c r="H79" s="20">
        <v>11.0</v>
      </c>
      <c r="I79" s="20">
        <v>11.0</v>
      </c>
    </row>
    <row r="80">
      <c r="A80" s="15">
        <v>78.0</v>
      </c>
      <c r="B80" s="51" t="s">
        <v>467</v>
      </c>
      <c r="C80" s="20" t="s">
        <v>468</v>
      </c>
      <c r="D80" s="54">
        <v>44206.0</v>
      </c>
      <c r="E80" s="57">
        <v>44480.0</v>
      </c>
      <c r="F80" s="20">
        <f t="shared" si="4"/>
        <v>0</v>
      </c>
      <c r="G80" s="19">
        <v>0.0</v>
      </c>
      <c r="H80" s="19">
        <v>0.0</v>
      </c>
      <c r="I80" s="19">
        <v>0.0</v>
      </c>
    </row>
    <row r="81">
      <c r="A81" s="40"/>
      <c r="C81" s="40"/>
      <c r="D81" s="40"/>
      <c r="E81" s="40"/>
      <c r="F81" s="40"/>
      <c r="G81" s="40"/>
    </row>
    <row r="82">
      <c r="A82" s="40"/>
      <c r="C82" s="40"/>
      <c r="D82" s="40"/>
      <c r="E82" s="40"/>
      <c r="F82" s="40"/>
      <c r="G82" s="40"/>
    </row>
    <row r="83">
      <c r="A83" s="40"/>
      <c r="C83" s="40"/>
      <c r="D83" s="40"/>
      <c r="E83" s="40"/>
      <c r="F83" s="40"/>
      <c r="G83" s="40"/>
    </row>
    <row r="84">
      <c r="A84" s="40"/>
      <c r="C84" s="40"/>
      <c r="D84" s="40"/>
      <c r="E84" s="40"/>
      <c r="F84" s="40"/>
      <c r="G84" s="40"/>
    </row>
    <row r="85">
      <c r="A85" s="40"/>
      <c r="C85" s="40"/>
      <c r="D85" s="40"/>
      <c r="E85" s="40"/>
      <c r="F85" s="40"/>
      <c r="G85" s="40"/>
    </row>
    <row r="86">
      <c r="A86" s="40"/>
      <c r="C86" s="40"/>
      <c r="D86" s="40"/>
      <c r="E86" s="40"/>
      <c r="F86" s="40"/>
      <c r="G86" s="40"/>
    </row>
    <row r="87">
      <c r="A87" s="40"/>
      <c r="C87" s="40"/>
      <c r="D87" s="40"/>
      <c r="E87" s="40"/>
      <c r="F87" s="40"/>
      <c r="G87" s="40"/>
    </row>
    <row r="88">
      <c r="A88" s="40"/>
      <c r="C88" s="40"/>
      <c r="D88" s="40"/>
      <c r="E88" s="40"/>
      <c r="F88" s="40"/>
      <c r="G88" s="40"/>
    </row>
    <row r="89">
      <c r="A89" s="40"/>
      <c r="C89" s="40"/>
      <c r="D89" s="40"/>
      <c r="E89" s="40"/>
      <c r="F89" s="40"/>
      <c r="G89" s="40"/>
    </row>
    <row r="90">
      <c r="A90" s="40"/>
      <c r="C90" s="40"/>
      <c r="D90" s="40"/>
      <c r="E90" s="40"/>
      <c r="F90" s="40"/>
      <c r="G90" s="40"/>
    </row>
    <row r="91">
      <c r="A91" s="40"/>
      <c r="C91" s="40"/>
      <c r="D91" s="40"/>
      <c r="E91" s="40"/>
      <c r="F91" s="40"/>
      <c r="G91" s="40"/>
    </row>
    <row r="92">
      <c r="A92" s="40"/>
      <c r="C92" s="40"/>
      <c r="D92" s="40"/>
      <c r="E92" s="40"/>
      <c r="F92" s="40"/>
      <c r="G92" s="40"/>
    </row>
    <row r="93">
      <c r="A93" s="40"/>
      <c r="C93" s="40"/>
      <c r="D93" s="40"/>
      <c r="E93" s="40"/>
      <c r="F93" s="40"/>
      <c r="G93" s="40"/>
    </row>
    <row r="94">
      <c r="A94" s="40"/>
      <c r="C94" s="40"/>
      <c r="D94" s="40"/>
      <c r="E94" s="40"/>
      <c r="F94" s="40"/>
      <c r="G94" s="40"/>
    </row>
    <row r="95">
      <c r="A95" s="40"/>
      <c r="C95" s="40"/>
      <c r="D95" s="40"/>
      <c r="E95" s="40"/>
      <c r="F95" s="40"/>
      <c r="G95" s="40"/>
    </row>
    <row r="96">
      <c r="A96" s="40"/>
      <c r="C96" s="40"/>
      <c r="D96" s="40"/>
      <c r="E96" s="40"/>
      <c r="F96" s="40"/>
      <c r="G96" s="40"/>
    </row>
    <row r="97">
      <c r="A97" s="40"/>
      <c r="C97" s="40"/>
      <c r="D97" s="40"/>
      <c r="E97" s="40"/>
      <c r="F97" s="40"/>
      <c r="G97" s="40"/>
    </row>
    <row r="98">
      <c r="A98" s="40"/>
      <c r="C98" s="40"/>
      <c r="D98" s="40"/>
      <c r="E98" s="40"/>
      <c r="F98" s="40"/>
      <c r="G98" s="40"/>
    </row>
    <row r="99">
      <c r="A99" s="40"/>
      <c r="C99" s="40"/>
      <c r="D99" s="40"/>
      <c r="E99" s="40"/>
      <c r="F99" s="40"/>
      <c r="G99" s="40"/>
    </row>
    <row r="100">
      <c r="A100" s="40"/>
      <c r="C100" s="40"/>
      <c r="D100" s="40"/>
      <c r="E100" s="40"/>
      <c r="F100" s="40"/>
      <c r="G100" s="40"/>
    </row>
    <row r="101">
      <c r="A101" s="40"/>
      <c r="C101" s="40"/>
      <c r="D101" s="40"/>
      <c r="E101" s="40"/>
      <c r="F101" s="40"/>
      <c r="G101" s="40"/>
    </row>
    <row r="102">
      <c r="A102" s="40"/>
      <c r="C102" s="40"/>
      <c r="D102" s="40"/>
      <c r="E102" s="40"/>
      <c r="F102" s="40"/>
      <c r="G102" s="40"/>
    </row>
    <row r="103">
      <c r="A103" s="40"/>
      <c r="C103" s="40"/>
      <c r="D103" s="40"/>
      <c r="E103" s="40"/>
      <c r="F103" s="40"/>
      <c r="G103" s="40"/>
    </row>
    <row r="104">
      <c r="A104" s="40"/>
      <c r="C104" s="40"/>
      <c r="D104" s="40"/>
      <c r="E104" s="40"/>
      <c r="F104" s="40"/>
      <c r="G104" s="40"/>
    </row>
    <row r="105">
      <c r="A105" s="40"/>
      <c r="C105" s="40"/>
      <c r="D105" s="40"/>
      <c r="E105" s="40"/>
      <c r="F105" s="40"/>
      <c r="G105" s="40"/>
    </row>
    <row r="106">
      <c r="A106" s="40"/>
      <c r="C106" s="40"/>
      <c r="D106" s="40"/>
      <c r="E106" s="40"/>
      <c r="F106" s="40"/>
      <c r="G106" s="40"/>
    </row>
    <row r="107">
      <c r="A107" s="40"/>
      <c r="C107" s="40"/>
      <c r="D107" s="40"/>
      <c r="E107" s="40"/>
      <c r="F107" s="40"/>
      <c r="G107" s="40"/>
    </row>
    <row r="108">
      <c r="A108" s="40"/>
      <c r="C108" s="40"/>
      <c r="D108" s="40"/>
      <c r="E108" s="40"/>
      <c r="F108" s="40"/>
      <c r="G108" s="40"/>
    </row>
    <row r="109">
      <c r="A109" s="40"/>
      <c r="C109" s="40"/>
      <c r="D109" s="40"/>
      <c r="E109" s="40"/>
      <c r="F109" s="40"/>
      <c r="G109" s="40"/>
    </row>
    <row r="110">
      <c r="A110" s="40"/>
      <c r="C110" s="40"/>
      <c r="D110" s="40"/>
      <c r="E110" s="40"/>
      <c r="F110" s="40"/>
      <c r="G110" s="40"/>
    </row>
    <row r="111">
      <c r="A111" s="40"/>
      <c r="C111" s="40"/>
      <c r="D111" s="40"/>
      <c r="E111" s="40"/>
      <c r="F111" s="40"/>
      <c r="G111" s="40"/>
    </row>
    <row r="112">
      <c r="A112" s="40"/>
      <c r="C112" s="40"/>
      <c r="D112" s="40"/>
      <c r="E112" s="40"/>
      <c r="F112" s="40"/>
      <c r="G112" s="40"/>
    </row>
    <row r="113">
      <c r="A113" s="40"/>
      <c r="C113" s="40"/>
      <c r="D113" s="40"/>
      <c r="E113" s="40"/>
      <c r="F113" s="40"/>
      <c r="G113" s="40"/>
    </row>
    <row r="114">
      <c r="A114" s="40"/>
      <c r="C114" s="40"/>
      <c r="D114" s="40"/>
      <c r="E114" s="40"/>
      <c r="F114" s="40"/>
      <c r="G114" s="40"/>
    </row>
    <row r="115">
      <c r="A115" s="40"/>
      <c r="C115" s="40"/>
      <c r="D115" s="40"/>
      <c r="E115" s="40"/>
      <c r="F115" s="40"/>
      <c r="G115" s="40"/>
    </row>
    <row r="116">
      <c r="A116" s="40"/>
      <c r="C116" s="40"/>
      <c r="D116" s="40"/>
      <c r="E116" s="40"/>
      <c r="F116" s="40"/>
      <c r="G116" s="40"/>
    </row>
    <row r="117">
      <c r="A117" s="40"/>
      <c r="C117" s="40"/>
      <c r="D117" s="40"/>
      <c r="E117" s="40"/>
      <c r="F117" s="40"/>
      <c r="G117" s="40"/>
    </row>
    <row r="118">
      <c r="A118" s="40"/>
      <c r="C118" s="40"/>
      <c r="D118" s="40"/>
      <c r="E118" s="40"/>
      <c r="F118" s="40"/>
      <c r="G118" s="40"/>
    </row>
    <row r="119">
      <c r="A119" s="40"/>
      <c r="C119" s="40"/>
      <c r="D119" s="40"/>
      <c r="E119" s="40"/>
      <c r="F119" s="40"/>
      <c r="G119" s="40"/>
    </row>
    <row r="120">
      <c r="A120" s="40"/>
      <c r="C120" s="40"/>
      <c r="D120" s="40"/>
      <c r="E120" s="40"/>
      <c r="F120" s="40"/>
      <c r="G120" s="40"/>
    </row>
    <row r="121">
      <c r="A121" s="40"/>
      <c r="C121" s="40"/>
      <c r="D121" s="40"/>
      <c r="E121" s="40"/>
      <c r="F121" s="40"/>
      <c r="G121" s="40"/>
    </row>
    <row r="122">
      <c r="A122" s="40"/>
      <c r="C122" s="40"/>
      <c r="D122" s="40"/>
      <c r="E122" s="40"/>
      <c r="F122" s="40"/>
      <c r="G122" s="40"/>
    </row>
    <row r="123">
      <c r="A123" s="40"/>
      <c r="C123" s="40"/>
      <c r="D123" s="40"/>
      <c r="E123" s="40"/>
      <c r="F123" s="40"/>
      <c r="G123" s="40"/>
    </row>
    <row r="124">
      <c r="A124" s="40"/>
      <c r="C124" s="40"/>
      <c r="D124" s="40"/>
      <c r="E124" s="40"/>
      <c r="F124" s="40"/>
      <c r="G124" s="40"/>
    </row>
    <row r="125">
      <c r="A125" s="40"/>
      <c r="C125" s="40"/>
      <c r="D125" s="40"/>
      <c r="E125" s="40"/>
      <c r="F125" s="40"/>
      <c r="G125" s="40"/>
    </row>
    <row r="126">
      <c r="A126" s="40"/>
      <c r="C126" s="40"/>
      <c r="D126" s="40"/>
      <c r="E126" s="40"/>
      <c r="F126" s="40"/>
      <c r="G126" s="40"/>
    </row>
    <row r="127">
      <c r="A127" s="40"/>
      <c r="C127" s="40"/>
      <c r="D127" s="40"/>
      <c r="E127" s="40"/>
      <c r="F127" s="40"/>
      <c r="G127" s="40"/>
    </row>
    <row r="128">
      <c r="A128" s="40"/>
      <c r="C128" s="40"/>
      <c r="D128" s="40"/>
      <c r="E128" s="40"/>
      <c r="F128" s="40"/>
      <c r="G128" s="40"/>
    </row>
    <row r="129">
      <c r="A129" s="40"/>
      <c r="C129" s="40"/>
      <c r="D129" s="40"/>
      <c r="E129" s="40"/>
      <c r="F129" s="40"/>
      <c r="G129" s="40"/>
    </row>
    <row r="130">
      <c r="A130" s="40"/>
      <c r="C130" s="40"/>
      <c r="D130" s="40"/>
      <c r="E130" s="40"/>
      <c r="F130" s="40"/>
      <c r="G130" s="40"/>
    </row>
    <row r="131">
      <c r="A131" s="40"/>
      <c r="C131" s="40"/>
      <c r="D131" s="40"/>
      <c r="E131" s="40"/>
      <c r="F131" s="40"/>
      <c r="G131" s="40"/>
    </row>
    <row r="132">
      <c r="A132" s="40"/>
      <c r="C132" s="40"/>
      <c r="D132" s="40"/>
      <c r="E132" s="40"/>
      <c r="F132" s="40"/>
      <c r="G132" s="40"/>
    </row>
    <row r="133">
      <c r="A133" s="40"/>
      <c r="C133" s="40"/>
      <c r="D133" s="40"/>
      <c r="E133" s="40"/>
      <c r="F133" s="40"/>
      <c r="G133" s="40"/>
    </row>
    <row r="134">
      <c r="A134" s="40"/>
      <c r="C134" s="40"/>
      <c r="D134" s="40"/>
      <c r="E134" s="40"/>
      <c r="F134" s="40"/>
      <c r="G134" s="40"/>
    </row>
    <row r="135">
      <c r="A135" s="40"/>
      <c r="C135" s="40"/>
      <c r="D135" s="40"/>
      <c r="E135" s="40"/>
      <c r="F135" s="40"/>
      <c r="G135" s="40"/>
    </row>
    <row r="136">
      <c r="A136" s="40"/>
      <c r="C136" s="40"/>
      <c r="D136" s="40"/>
      <c r="E136" s="40"/>
      <c r="F136" s="40"/>
      <c r="G136" s="40"/>
    </row>
    <row r="137">
      <c r="A137" s="40"/>
      <c r="C137" s="40"/>
      <c r="D137" s="40"/>
      <c r="E137" s="40"/>
      <c r="F137" s="40"/>
      <c r="G137" s="40"/>
    </row>
    <row r="138">
      <c r="A138" s="40"/>
      <c r="C138" s="40"/>
      <c r="D138" s="40"/>
      <c r="E138" s="40"/>
      <c r="F138" s="40"/>
      <c r="G138" s="40"/>
    </row>
    <row r="139">
      <c r="A139" s="40"/>
      <c r="C139" s="40"/>
      <c r="D139" s="40"/>
      <c r="E139" s="40"/>
      <c r="F139" s="40"/>
      <c r="G139" s="40"/>
    </row>
    <row r="140">
      <c r="A140" s="40"/>
      <c r="C140" s="40"/>
      <c r="D140" s="40"/>
      <c r="E140" s="40"/>
      <c r="F140" s="40"/>
      <c r="G140" s="40"/>
    </row>
    <row r="141">
      <c r="A141" s="40"/>
      <c r="C141" s="40"/>
      <c r="D141" s="40"/>
      <c r="E141" s="40"/>
      <c r="F141" s="40"/>
      <c r="G141" s="40"/>
    </row>
    <row r="142">
      <c r="A142" s="40"/>
      <c r="C142" s="40"/>
      <c r="D142" s="40"/>
      <c r="E142" s="40"/>
      <c r="F142" s="40"/>
      <c r="G142" s="40"/>
    </row>
    <row r="143">
      <c r="A143" s="40"/>
      <c r="C143" s="40"/>
      <c r="D143" s="40"/>
      <c r="E143" s="40"/>
      <c r="F143" s="40"/>
      <c r="G143" s="40"/>
    </row>
    <row r="144">
      <c r="A144" s="40"/>
      <c r="C144" s="40"/>
      <c r="D144" s="40"/>
      <c r="E144" s="40"/>
      <c r="F144" s="40"/>
      <c r="G144" s="40"/>
    </row>
    <row r="145">
      <c r="A145" s="40"/>
      <c r="C145" s="40"/>
      <c r="D145" s="40"/>
      <c r="E145" s="40"/>
      <c r="F145" s="40"/>
      <c r="G145" s="40"/>
    </row>
    <row r="146">
      <c r="A146" s="40"/>
      <c r="C146" s="40"/>
      <c r="D146" s="40"/>
      <c r="E146" s="40"/>
      <c r="F146" s="40"/>
      <c r="G146" s="40"/>
    </row>
    <row r="147">
      <c r="A147" s="40"/>
      <c r="C147" s="40"/>
      <c r="D147" s="40"/>
      <c r="E147" s="40"/>
      <c r="F147" s="40"/>
      <c r="G147" s="40"/>
    </row>
    <row r="148">
      <c r="A148" s="40"/>
      <c r="C148" s="40"/>
      <c r="D148" s="40"/>
      <c r="E148" s="40"/>
      <c r="F148" s="40"/>
      <c r="G148" s="40"/>
    </row>
    <row r="149">
      <c r="A149" s="40"/>
      <c r="C149" s="40"/>
      <c r="D149" s="40"/>
      <c r="E149" s="40"/>
      <c r="F149" s="40"/>
      <c r="G149" s="40"/>
    </row>
    <row r="150">
      <c r="A150" s="40"/>
      <c r="C150" s="40"/>
      <c r="D150" s="40"/>
      <c r="E150" s="40"/>
      <c r="F150" s="40"/>
      <c r="G150" s="40"/>
    </row>
    <row r="151">
      <c r="A151" s="40"/>
      <c r="C151" s="40"/>
      <c r="D151" s="40"/>
      <c r="E151" s="40"/>
      <c r="F151" s="40"/>
      <c r="G151" s="40"/>
    </row>
    <row r="152">
      <c r="A152" s="40"/>
      <c r="C152" s="40"/>
      <c r="D152" s="40"/>
      <c r="E152" s="40"/>
      <c r="F152" s="40"/>
      <c r="G152" s="40"/>
    </row>
    <row r="153">
      <c r="A153" s="40"/>
      <c r="C153" s="40"/>
      <c r="D153" s="40"/>
      <c r="E153" s="40"/>
      <c r="F153" s="40"/>
      <c r="G153" s="40"/>
    </row>
    <row r="154">
      <c r="A154" s="40"/>
      <c r="C154" s="40"/>
      <c r="D154" s="40"/>
      <c r="E154" s="40"/>
      <c r="F154" s="40"/>
      <c r="G154" s="40"/>
    </row>
    <row r="155">
      <c r="A155" s="40"/>
      <c r="C155" s="40"/>
      <c r="D155" s="40"/>
      <c r="E155" s="40"/>
      <c r="F155" s="40"/>
      <c r="G155" s="40"/>
    </row>
    <row r="156">
      <c r="A156" s="40"/>
      <c r="C156" s="40"/>
      <c r="D156" s="40"/>
      <c r="E156" s="40"/>
      <c r="F156" s="40"/>
      <c r="G156" s="40"/>
    </row>
    <row r="157">
      <c r="A157" s="40"/>
      <c r="C157" s="40"/>
      <c r="D157" s="40"/>
      <c r="E157" s="40"/>
      <c r="F157" s="40"/>
      <c r="G157" s="40"/>
    </row>
    <row r="158">
      <c r="A158" s="40"/>
      <c r="C158" s="40"/>
      <c r="D158" s="40"/>
      <c r="E158" s="40"/>
      <c r="F158" s="40"/>
      <c r="G158" s="40"/>
    </row>
    <row r="159">
      <c r="A159" s="40"/>
      <c r="C159" s="40"/>
      <c r="D159" s="40"/>
      <c r="E159" s="40"/>
      <c r="F159" s="40"/>
      <c r="G159" s="40"/>
    </row>
    <row r="160">
      <c r="A160" s="40"/>
      <c r="C160" s="40"/>
      <c r="D160" s="40"/>
      <c r="E160" s="40"/>
      <c r="F160" s="40"/>
      <c r="G160" s="40"/>
    </row>
    <row r="161">
      <c r="A161" s="40"/>
      <c r="C161" s="40"/>
      <c r="D161" s="40"/>
      <c r="E161" s="40"/>
      <c r="F161" s="40"/>
      <c r="G161" s="40"/>
    </row>
    <row r="162">
      <c r="A162" s="40"/>
      <c r="C162" s="40"/>
      <c r="D162" s="40"/>
      <c r="E162" s="40"/>
      <c r="F162" s="40"/>
      <c r="G162" s="40"/>
    </row>
    <row r="163">
      <c r="A163" s="40"/>
      <c r="C163" s="40"/>
      <c r="D163" s="40"/>
      <c r="E163" s="40"/>
      <c r="F163" s="40"/>
      <c r="G163" s="40"/>
    </row>
    <row r="164">
      <c r="A164" s="40"/>
      <c r="C164" s="40"/>
      <c r="D164" s="40"/>
      <c r="E164" s="40"/>
      <c r="F164" s="40"/>
      <c r="G164" s="40"/>
    </row>
    <row r="165">
      <c r="A165" s="40"/>
      <c r="C165" s="40"/>
      <c r="D165" s="40"/>
      <c r="E165" s="40"/>
      <c r="F165" s="40"/>
      <c r="G165" s="40"/>
    </row>
    <row r="166">
      <c r="A166" s="40"/>
      <c r="C166" s="40"/>
      <c r="D166" s="40"/>
      <c r="E166" s="40"/>
      <c r="F166" s="40"/>
      <c r="G166" s="40"/>
    </row>
    <row r="167">
      <c r="A167" s="40"/>
      <c r="C167" s="40"/>
      <c r="D167" s="40"/>
      <c r="E167" s="40"/>
      <c r="F167" s="40"/>
      <c r="G167" s="40"/>
    </row>
    <row r="168">
      <c r="A168" s="40"/>
      <c r="C168" s="40"/>
      <c r="D168" s="40"/>
      <c r="E168" s="40"/>
      <c r="F168" s="40"/>
      <c r="G168" s="40"/>
    </row>
    <row r="169">
      <c r="A169" s="40"/>
      <c r="C169" s="40"/>
      <c r="D169" s="40"/>
      <c r="E169" s="40"/>
      <c r="F169" s="40"/>
      <c r="G169" s="40"/>
    </row>
    <row r="170">
      <c r="A170" s="40"/>
      <c r="C170" s="40"/>
      <c r="D170" s="40"/>
      <c r="E170" s="40"/>
      <c r="F170" s="40"/>
      <c r="G170" s="40"/>
    </row>
    <row r="171">
      <c r="A171" s="40"/>
      <c r="C171" s="40"/>
      <c r="D171" s="40"/>
      <c r="E171" s="40"/>
      <c r="F171" s="40"/>
      <c r="G171" s="40"/>
    </row>
    <row r="172">
      <c r="A172" s="40"/>
      <c r="C172" s="40"/>
      <c r="D172" s="40"/>
      <c r="E172" s="40"/>
      <c r="F172" s="40"/>
      <c r="G172" s="40"/>
    </row>
    <row r="173">
      <c r="A173" s="40"/>
      <c r="C173" s="40"/>
      <c r="D173" s="40"/>
      <c r="E173" s="40"/>
      <c r="F173" s="40"/>
      <c r="G173" s="40"/>
    </row>
    <row r="174">
      <c r="A174" s="40"/>
      <c r="C174" s="40"/>
      <c r="D174" s="40"/>
      <c r="E174" s="40"/>
      <c r="F174" s="40"/>
      <c r="G174" s="40"/>
    </row>
    <row r="175">
      <c r="A175" s="40"/>
      <c r="C175" s="40"/>
      <c r="D175" s="40"/>
      <c r="E175" s="40"/>
      <c r="F175" s="40"/>
      <c r="G175" s="40"/>
    </row>
    <row r="176">
      <c r="A176" s="40"/>
      <c r="C176" s="40"/>
      <c r="D176" s="40"/>
      <c r="E176" s="40"/>
      <c r="F176" s="40"/>
      <c r="G176" s="40"/>
    </row>
    <row r="177">
      <c r="A177" s="40"/>
      <c r="C177" s="40"/>
      <c r="D177" s="40"/>
      <c r="E177" s="40"/>
      <c r="F177" s="40"/>
      <c r="G177" s="40"/>
    </row>
    <row r="178">
      <c r="A178" s="40"/>
      <c r="C178" s="40"/>
      <c r="D178" s="40"/>
      <c r="E178" s="40"/>
      <c r="F178" s="40"/>
      <c r="G178" s="40"/>
    </row>
    <row r="179">
      <c r="A179" s="40"/>
      <c r="C179" s="40"/>
      <c r="D179" s="40"/>
      <c r="E179" s="40"/>
      <c r="F179" s="40"/>
      <c r="G179" s="40"/>
    </row>
    <row r="180">
      <c r="A180" s="40"/>
      <c r="C180" s="40"/>
      <c r="D180" s="40"/>
      <c r="E180" s="40"/>
      <c r="F180" s="40"/>
      <c r="G180" s="40"/>
    </row>
    <row r="181">
      <c r="A181" s="40"/>
      <c r="C181" s="40"/>
      <c r="D181" s="40"/>
      <c r="E181" s="40"/>
      <c r="F181" s="40"/>
      <c r="G181" s="40"/>
    </row>
    <row r="182">
      <c r="A182" s="40"/>
      <c r="C182" s="40"/>
      <c r="D182" s="40"/>
      <c r="E182" s="40"/>
      <c r="F182" s="40"/>
      <c r="G182" s="40"/>
    </row>
    <row r="183">
      <c r="A183" s="40"/>
      <c r="C183" s="40"/>
      <c r="D183" s="40"/>
      <c r="E183" s="40"/>
      <c r="F183" s="40"/>
      <c r="G183" s="40"/>
    </row>
    <row r="184">
      <c r="A184" s="40"/>
      <c r="C184" s="40"/>
      <c r="D184" s="40"/>
      <c r="E184" s="40"/>
      <c r="F184" s="40"/>
      <c r="G184" s="40"/>
    </row>
    <row r="185">
      <c r="A185" s="40"/>
      <c r="C185" s="40"/>
      <c r="D185" s="40"/>
      <c r="E185" s="40"/>
      <c r="F185" s="40"/>
      <c r="G185" s="40"/>
    </row>
    <row r="186">
      <c r="A186" s="40"/>
      <c r="C186" s="40"/>
      <c r="D186" s="40"/>
      <c r="E186" s="40"/>
      <c r="F186" s="40"/>
      <c r="G186" s="40"/>
    </row>
    <row r="187">
      <c r="A187" s="40"/>
      <c r="C187" s="40"/>
      <c r="D187" s="40"/>
      <c r="E187" s="40"/>
      <c r="F187" s="40"/>
      <c r="G187" s="40"/>
    </row>
    <row r="188">
      <c r="A188" s="40"/>
      <c r="C188" s="40"/>
      <c r="D188" s="40"/>
      <c r="E188" s="40"/>
      <c r="F188" s="40"/>
      <c r="G188" s="40"/>
    </row>
    <row r="189">
      <c r="A189" s="40"/>
      <c r="C189" s="40"/>
      <c r="D189" s="40"/>
      <c r="E189" s="40"/>
      <c r="F189" s="40"/>
      <c r="G189" s="40"/>
    </row>
    <row r="190">
      <c r="A190" s="40"/>
      <c r="C190" s="40"/>
      <c r="D190" s="40"/>
      <c r="E190" s="40"/>
      <c r="F190" s="40"/>
      <c r="G190" s="40"/>
    </row>
    <row r="191">
      <c r="A191" s="40"/>
      <c r="C191" s="40"/>
      <c r="D191" s="40"/>
      <c r="E191" s="40"/>
      <c r="F191" s="40"/>
      <c r="G191" s="40"/>
    </row>
    <row r="192">
      <c r="A192" s="40"/>
      <c r="C192" s="40"/>
      <c r="D192" s="40"/>
      <c r="E192" s="40"/>
      <c r="F192" s="40"/>
      <c r="G192" s="40"/>
    </row>
    <row r="193">
      <c r="A193" s="40"/>
      <c r="C193" s="40"/>
      <c r="D193" s="40"/>
      <c r="E193" s="40"/>
      <c r="F193" s="40"/>
      <c r="G193" s="40"/>
    </row>
    <row r="194">
      <c r="A194" s="40"/>
      <c r="C194" s="40"/>
      <c r="D194" s="40"/>
      <c r="E194" s="40"/>
      <c r="F194" s="40"/>
      <c r="G194" s="40"/>
    </row>
    <row r="195">
      <c r="A195" s="40"/>
      <c r="C195" s="40"/>
      <c r="D195" s="40"/>
      <c r="E195" s="40"/>
      <c r="F195" s="40"/>
      <c r="G195" s="40"/>
    </row>
    <row r="196">
      <c r="A196" s="40"/>
      <c r="C196" s="40"/>
      <c r="D196" s="40"/>
      <c r="E196" s="40"/>
      <c r="F196" s="40"/>
      <c r="G196" s="40"/>
    </row>
    <row r="197">
      <c r="A197" s="40"/>
      <c r="C197" s="40"/>
      <c r="D197" s="40"/>
      <c r="E197" s="40"/>
      <c r="F197" s="40"/>
      <c r="G197" s="40"/>
    </row>
    <row r="198">
      <c r="A198" s="40"/>
      <c r="C198" s="40"/>
      <c r="D198" s="40"/>
      <c r="E198" s="40"/>
      <c r="F198" s="40"/>
      <c r="G198" s="40"/>
    </row>
    <row r="199">
      <c r="A199" s="40"/>
      <c r="C199" s="40"/>
      <c r="D199" s="40"/>
      <c r="E199" s="40"/>
      <c r="F199" s="40"/>
      <c r="G199" s="40"/>
    </row>
    <row r="200">
      <c r="A200" s="40"/>
      <c r="C200" s="40"/>
      <c r="D200" s="40"/>
      <c r="E200" s="40"/>
      <c r="F200" s="40"/>
      <c r="G200" s="40"/>
    </row>
    <row r="201">
      <c r="A201" s="40"/>
      <c r="C201" s="40"/>
      <c r="D201" s="40"/>
      <c r="E201" s="40"/>
      <c r="F201" s="40"/>
      <c r="G201" s="40"/>
    </row>
    <row r="202">
      <c r="A202" s="40"/>
      <c r="C202" s="40"/>
      <c r="D202" s="40"/>
      <c r="E202" s="40"/>
      <c r="F202" s="40"/>
      <c r="G202" s="40"/>
    </row>
    <row r="203">
      <c r="A203" s="40"/>
      <c r="C203" s="40"/>
      <c r="D203" s="40"/>
      <c r="E203" s="40"/>
      <c r="F203" s="40"/>
      <c r="G203" s="40"/>
    </row>
    <row r="204">
      <c r="A204" s="40"/>
      <c r="C204" s="40"/>
      <c r="D204" s="40"/>
      <c r="E204" s="40"/>
      <c r="F204" s="40"/>
      <c r="G204" s="40"/>
    </row>
    <row r="205">
      <c r="A205" s="40"/>
      <c r="C205" s="40"/>
      <c r="D205" s="40"/>
      <c r="E205" s="40"/>
      <c r="F205" s="40"/>
      <c r="G205" s="40"/>
    </row>
    <row r="206">
      <c r="A206" s="40"/>
      <c r="C206" s="40"/>
      <c r="D206" s="40"/>
      <c r="E206" s="40"/>
      <c r="F206" s="40"/>
      <c r="G206" s="40"/>
    </row>
    <row r="207">
      <c r="A207" s="40"/>
      <c r="C207" s="40"/>
      <c r="D207" s="40"/>
      <c r="E207" s="40"/>
      <c r="F207" s="40"/>
      <c r="G207" s="40"/>
    </row>
    <row r="208">
      <c r="A208" s="40"/>
      <c r="C208" s="40"/>
      <c r="D208" s="40"/>
      <c r="E208" s="40"/>
      <c r="F208" s="40"/>
      <c r="G208" s="40"/>
    </row>
    <row r="209">
      <c r="A209" s="40"/>
      <c r="C209" s="40"/>
      <c r="D209" s="40"/>
      <c r="E209" s="40"/>
      <c r="F209" s="40"/>
      <c r="G209" s="40"/>
    </row>
    <row r="210">
      <c r="A210" s="40"/>
      <c r="C210" s="40"/>
      <c r="D210" s="40"/>
      <c r="E210" s="40"/>
      <c r="F210" s="40"/>
      <c r="G210" s="40"/>
    </row>
    <row r="211">
      <c r="A211" s="40"/>
      <c r="C211" s="40"/>
      <c r="D211" s="40"/>
      <c r="E211" s="40"/>
      <c r="F211" s="40"/>
      <c r="G211" s="40"/>
    </row>
    <row r="212">
      <c r="A212" s="40"/>
      <c r="C212" s="40"/>
      <c r="D212" s="40"/>
      <c r="E212" s="40"/>
      <c r="F212" s="40"/>
      <c r="G212" s="40"/>
    </row>
    <row r="213">
      <c r="A213" s="40"/>
      <c r="C213" s="40"/>
      <c r="D213" s="40"/>
      <c r="E213" s="40"/>
      <c r="F213" s="40"/>
      <c r="G213" s="40"/>
    </row>
    <row r="214">
      <c r="A214" s="40"/>
      <c r="C214" s="40"/>
      <c r="D214" s="40"/>
      <c r="E214" s="40"/>
      <c r="F214" s="40"/>
      <c r="G214" s="40"/>
    </row>
    <row r="215">
      <c r="A215" s="40"/>
      <c r="C215" s="40"/>
      <c r="D215" s="40"/>
      <c r="E215" s="40"/>
      <c r="F215" s="40"/>
      <c r="G215" s="40"/>
    </row>
    <row r="216">
      <c r="A216" s="40"/>
      <c r="C216" s="40"/>
      <c r="D216" s="40"/>
      <c r="E216" s="40"/>
      <c r="F216" s="40"/>
      <c r="G216" s="40"/>
    </row>
    <row r="217">
      <c r="A217" s="40"/>
      <c r="C217" s="40"/>
      <c r="D217" s="40"/>
      <c r="E217" s="40"/>
      <c r="F217" s="40"/>
      <c r="G217" s="40"/>
    </row>
    <row r="218">
      <c r="A218" s="40"/>
      <c r="C218" s="40"/>
      <c r="D218" s="40"/>
      <c r="E218" s="40"/>
      <c r="F218" s="40"/>
      <c r="G218" s="40"/>
    </row>
    <row r="219">
      <c r="A219" s="40"/>
      <c r="C219" s="40"/>
      <c r="D219" s="40"/>
      <c r="E219" s="40"/>
      <c r="F219" s="40"/>
      <c r="G219" s="40"/>
    </row>
    <row r="220">
      <c r="A220" s="40"/>
      <c r="C220" s="40"/>
      <c r="D220" s="40"/>
      <c r="E220" s="40"/>
      <c r="F220" s="40"/>
      <c r="G220" s="40"/>
    </row>
    <row r="221">
      <c r="A221" s="40"/>
      <c r="C221" s="40"/>
      <c r="D221" s="40"/>
      <c r="E221" s="40"/>
      <c r="F221" s="40"/>
      <c r="G221" s="40"/>
    </row>
    <row r="222">
      <c r="A222" s="40"/>
      <c r="C222" s="40"/>
      <c r="D222" s="40"/>
      <c r="E222" s="40"/>
      <c r="F222" s="40"/>
      <c r="G222" s="40"/>
    </row>
    <row r="223">
      <c r="A223" s="40"/>
      <c r="C223" s="40"/>
      <c r="D223" s="40"/>
      <c r="E223" s="40"/>
      <c r="F223" s="40"/>
      <c r="G223" s="40"/>
    </row>
    <row r="224">
      <c r="A224" s="40"/>
      <c r="C224" s="40"/>
      <c r="D224" s="40"/>
      <c r="E224" s="40"/>
      <c r="F224" s="40"/>
      <c r="G224" s="40"/>
    </row>
    <row r="225">
      <c r="A225" s="40"/>
      <c r="C225" s="40"/>
      <c r="D225" s="40"/>
      <c r="E225" s="40"/>
      <c r="F225" s="40"/>
      <c r="G225" s="40"/>
    </row>
    <row r="226">
      <c r="A226" s="40"/>
      <c r="C226" s="40"/>
      <c r="D226" s="40"/>
      <c r="E226" s="40"/>
      <c r="F226" s="40"/>
      <c r="G226" s="40"/>
    </row>
    <row r="227">
      <c r="A227" s="40"/>
      <c r="C227" s="40"/>
      <c r="D227" s="40"/>
      <c r="E227" s="40"/>
      <c r="F227" s="40"/>
      <c r="G227" s="40"/>
    </row>
    <row r="228">
      <c r="A228" s="40"/>
      <c r="C228" s="40"/>
      <c r="D228" s="40"/>
      <c r="E228" s="40"/>
      <c r="F228" s="40"/>
      <c r="G228" s="40"/>
    </row>
    <row r="229">
      <c r="A229" s="40"/>
      <c r="C229" s="40"/>
      <c r="D229" s="40"/>
      <c r="E229" s="40"/>
      <c r="F229" s="40"/>
      <c r="G229" s="40"/>
    </row>
    <row r="230">
      <c r="A230" s="40"/>
      <c r="C230" s="40"/>
      <c r="D230" s="40"/>
      <c r="E230" s="40"/>
      <c r="F230" s="40"/>
      <c r="G230" s="40"/>
    </row>
    <row r="231">
      <c r="A231" s="40"/>
      <c r="C231" s="40"/>
      <c r="D231" s="40"/>
      <c r="E231" s="40"/>
      <c r="F231" s="40"/>
      <c r="G231" s="40"/>
    </row>
    <row r="232">
      <c r="A232" s="40"/>
      <c r="C232" s="40"/>
      <c r="D232" s="40"/>
      <c r="E232" s="40"/>
      <c r="F232" s="40"/>
      <c r="G232" s="40"/>
    </row>
    <row r="233">
      <c r="A233" s="40"/>
      <c r="C233" s="40"/>
      <c r="D233" s="40"/>
      <c r="E233" s="40"/>
      <c r="F233" s="40"/>
      <c r="G233" s="40"/>
    </row>
    <row r="234">
      <c r="A234" s="40"/>
      <c r="C234" s="40"/>
      <c r="D234" s="40"/>
      <c r="E234" s="40"/>
      <c r="F234" s="40"/>
      <c r="G234" s="40"/>
    </row>
    <row r="235">
      <c r="A235" s="40"/>
      <c r="C235" s="40"/>
      <c r="D235" s="40"/>
      <c r="E235" s="40"/>
      <c r="F235" s="40"/>
      <c r="G235" s="40"/>
    </row>
    <row r="236">
      <c r="A236" s="40"/>
      <c r="C236" s="40"/>
      <c r="D236" s="40"/>
      <c r="E236" s="40"/>
      <c r="F236" s="40"/>
      <c r="G236" s="40"/>
    </row>
    <row r="237">
      <c r="A237" s="40"/>
      <c r="C237" s="40"/>
      <c r="D237" s="40"/>
      <c r="E237" s="40"/>
      <c r="F237" s="40"/>
      <c r="G237" s="40"/>
    </row>
    <row r="238">
      <c r="A238" s="40"/>
      <c r="C238" s="40"/>
      <c r="D238" s="40"/>
      <c r="E238" s="40"/>
      <c r="F238" s="40"/>
      <c r="G238" s="40"/>
    </row>
    <row r="239">
      <c r="A239" s="40"/>
      <c r="C239" s="40"/>
      <c r="D239" s="40"/>
      <c r="E239" s="40"/>
      <c r="F239" s="40"/>
      <c r="G239" s="40"/>
    </row>
    <row r="240">
      <c r="A240" s="40"/>
      <c r="C240" s="40"/>
      <c r="D240" s="40"/>
      <c r="E240" s="40"/>
      <c r="F240" s="40"/>
      <c r="G240" s="40"/>
    </row>
    <row r="241">
      <c r="A241" s="40"/>
      <c r="C241" s="40"/>
      <c r="D241" s="40"/>
      <c r="E241" s="40"/>
      <c r="F241" s="40"/>
      <c r="G241" s="40"/>
    </row>
    <row r="242">
      <c r="A242" s="40"/>
      <c r="C242" s="40"/>
      <c r="D242" s="40"/>
      <c r="E242" s="40"/>
      <c r="F242" s="40"/>
      <c r="G242" s="40"/>
    </row>
    <row r="243">
      <c r="A243" s="40"/>
      <c r="C243" s="40"/>
      <c r="D243" s="40"/>
      <c r="E243" s="40"/>
      <c r="F243" s="40"/>
      <c r="G243" s="40"/>
    </row>
    <row r="244">
      <c r="A244" s="40"/>
      <c r="C244" s="40"/>
      <c r="D244" s="40"/>
      <c r="E244" s="40"/>
      <c r="F244" s="40"/>
      <c r="G244" s="40"/>
    </row>
    <row r="245">
      <c r="A245" s="40"/>
      <c r="C245" s="40"/>
      <c r="D245" s="40"/>
      <c r="E245" s="40"/>
      <c r="F245" s="40"/>
      <c r="G245" s="40"/>
    </row>
    <row r="246">
      <c r="A246" s="40"/>
      <c r="C246" s="40"/>
      <c r="D246" s="40"/>
      <c r="E246" s="40"/>
      <c r="F246" s="40"/>
      <c r="G246" s="40"/>
    </row>
    <row r="247">
      <c r="A247" s="40"/>
      <c r="C247" s="40"/>
      <c r="D247" s="40"/>
      <c r="E247" s="40"/>
      <c r="F247" s="40"/>
      <c r="G247" s="40"/>
    </row>
    <row r="248">
      <c r="A248" s="40"/>
      <c r="C248" s="40"/>
      <c r="D248" s="40"/>
      <c r="E248" s="40"/>
      <c r="F248" s="40"/>
      <c r="G248" s="40"/>
    </row>
    <row r="249">
      <c r="A249" s="40"/>
      <c r="C249" s="40"/>
      <c r="D249" s="40"/>
      <c r="E249" s="40"/>
      <c r="F249" s="40"/>
      <c r="G249" s="40"/>
    </row>
    <row r="250">
      <c r="A250" s="40"/>
      <c r="C250" s="40"/>
      <c r="D250" s="40"/>
      <c r="E250" s="40"/>
      <c r="F250" s="40"/>
      <c r="G250" s="40"/>
    </row>
    <row r="251">
      <c r="A251" s="40"/>
      <c r="C251" s="40"/>
      <c r="D251" s="40"/>
      <c r="E251" s="40"/>
      <c r="F251" s="40"/>
      <c r="G251" s="40"/>
    </row>
    <row r="252">
      <c r="A252" s="40"/>
      <c r="C252" s="40"/>
      <c r="D252" s="40"/>
      <c r="E252" s="40"/>
      <c r="F252" s="40"/>
      <c r="G252" s="40"/>
    </row>
    <row r="253">
      <c r="A253" s="40"/>
      <c r="C253" s="40"/>
      <c r="D253" s="40"/>
      <c r="E253" s="40"/>
      <c r="F253" s="40"/>
      <c r="G253" s="40"/>
    </row>
    <row r="254">
      <c r="A254" s="40"/>
      <c r="C254" s="40"/>
      <c r="D254" s="40"/>
      <c r="E254" s="40"/>
      <c r="F254" s="40"/>
      <c r="G254" s="40"/>
    </row>
    <row r="255">
      <c r="A255" s="40"/>
      <c r="C255" s="40"/>
      <c r="D255" s="40"/>
      <c r="E255" s="40"/>
      <c r="F255" s="40"/>
      <c r="G255" s="40"/>
    </row>
    <row r="256">
      <c r="A256" s="40"/>
      <c r="C256" s="40"/>
      <c r="D256" s="40"/>
      <c r="E256" s="40"/>
      <c r="F256" s="40"/>
      <c r="G256" s="40"/>
    </row>
    <row r="257">
      <c r="A257" s="40"/>
      <c r="C257" s="40"/>
      <c r="D257" s="40"/>
      <c r="E257" s="40"/>
      <c r="F257" s="40"/>
      <c r="G257" s="40"/>
    </row>
    <row r="258">
      <c r="A258" s="40"/>
      <c r="C258" s="40"/>
      <c r="D258" s="40"/>
      <c r="E258" s="40"/>
      <c r="F258" s="40"/>
      <c r="G258" s="40"/>
    </row>
    <row r="259">
      <c r="A259" s="40"/>
      <c r="C259" s="40"/>
      <c r="D259" s="40"/>
      <c r="E259" s="40"/>
      <c r="F259" s="40"/>
      <c r="G259" s="40"/>
    </row>
    <row r="260">
      <c r="A260" s="40"/>
      <c r="C260" s="40"/>
      <c r="D260" s="40"/>
      <c r="E260" s="40"/>
      <c r="F260" s="40"/>
      <c r="G260" s="40"/>
    </row>
    <row r="261">
      <c r="A261" s="40"/>
      <c r="C261" s="40"/>
      <c r="D261" s="40"/>
      <c r="E261" s="40"/>
      <c r="F261" s="40"/>
      <c r="G261" s="40"/>
    </row>
    <row r="262">
      <c r="A262" s="40"/>
      <c r="C262" s="40"/>
      <c r="D262" s="40"/>
      <c r="E262" s="40"/>
      <c r="F262" s="40"/>
      <c r="G262" s="40"/>
    </row>
    <row r="263">
      <c r="A263" s="40"/>
      <c r="C263" s="40"/>
      <c r="D263" s="40"/>
      <c r="E263" s="40"/>
      <c r="F263" s="40"/>
      <c r="G263" s="40"/>
    </row>
    <row r="264">
      <c r="A264" s="40"/>
      <c r="C264" s="40"/>
      <c r="D264" s="40"/>
      <c r="E264" s="40"/>
      <c r="F264" s="40"/>
      <c r="G264" s="40"/>
    </row>
    <row r="265">
      <c r="A265" s="40"/>
      <c r="C265" s="40"/>
      <c r="D265" s="40"/>
      <c r="E265" s="40"/>
      <c r="F265" s="40"/>
      <c r="G265" s="40"/>
    </row>
    <row r="266">
      <c r="A266" s="40"/>
      <c r="C266" s="40"/>
      <c r="D266" s="40"/>
      <c r="E266" s="40"/>
      <c r="F266" s="40"/>
      <c r="G266" s="40"/>
    </row>
    <row r="267">
      <c r="A267" s="40"/>
      <c r="C267" s="40"/>
      <c r="D267" s="40"/>
      <c r="E267" s="40"/>
      <c r="F267" s="40"/>
      <c r="G267" s="40"/>
    </row>
    <row r="268">
      <c r="A268" s="40"/>
      <c r="C268" s="40"/>
      <c r="D268" s="40"/>
      <c r="E268" s="40"/>
      <c r="F268" s="40"/>
      <c r="G268" s="40"/>
    </row>
    <row r="269">
      <c r="A269" s="40"/>
      <c r="C269" s="40"/>
      <c r="D269" s="40"/>
      <c r="E269" s="40"/>
      <c r="F269" s="40"/>
      <c r="G269" s="40"/>
    </row>
    <row r="270">
      <c r="A270" s="40"/>
      <c r="C270" s="40"/>
      <c r="D270" s="40"/>
      <c r="E270" s="40"/>
      <c r="F270" s="40"/>
      <c r="G270" s="40"/>
    </row>
    <row r="271">
      <c r="A271" s="40"/>
      <c r="C271" s="40"/>
      <c r="D271" s="40"/>
      <c r="E271" s="40"/>
      <c r="F271" s="40"/>
      <c r="G271" s="40"/>
    </row>
    <row r="272">
      <c r="A272" s="40"/>
      <c r="C272" s="40"/>
      <c r="D272" s="40"/>
      <c r="E272" s="40"/>
      <c r="F272" s="40"/>
      <c r="G272" s="40"/>
    </row>
    <row r="273">
      <c r="A273" s="40"/>
      <c r="C273" s="40"/>
      <c r="D273" s="40"/>
      <c r="E273" s="40"/>
      <c r="F273" s="40"/>
      <c r="G273" s="40"/>
    </row>
    <row r="274">
      <c r="A274" s="40"/>
      <c r="C274" s="40"/>
      <c r="D274" s="40"/>
      <c r="E274" s="40"/>
      <c r="F274" s="40"/>
      <c r="G274" s="40"/>
    </row>
    <row r="275">
      <c r="A275" s="40"/>
      <c r="C275" s="40"/>
      <c r="D275" s="40"/>
      <c r="E275" s="40"/>
      <c r="F275" s="40"/>
      <c r="G275" s="40"/>
    </row>
    <row r="276">
      <c r="A276" s="40"/>
      <c r="C276" s="40"/>
      <c r="D276" s="40"/>
      <c r="E276" s="40"/>
      <c r="F276" s="40"/>
      <c r="G276" s="40"/>
    </row>
    <row r="277">
      <c r="A277" s="40"/>
      <c r="C277" s="40"/>
      <c r="D277" s="40"/>
      <c r="E277" s="40"/>
      <c r="F277" s="40"/>
      <c r="G277" s="40"/>
    </row>
    <row r="278">
      <c r="A278" s="40"/>
      <c r="C278" s="40"/>
      <c r="D278" s="40"/>
      <c r="E278" s="40"/>
      <c r="F278" s="40"/>
      <c r="G278" s="40"/>
    </row>
    <row r="279">
      <c r="A279" s="40"/>
      <c r="C279" s="40"/>
      <c r="D279" s="40"/>
      <c r="E279" s="40"/>
      <c r="F279" s="40"/>
      <c r="G279" s="40"/>
    </row>
    <row r="280">
      <c r="A280" s="40"/>
      <c r="C280" s="40"/>
      <c r="D280" s="40"/>
      <c r="E280" s="40"/>
      <c r="F280" s="40"/>
      <c r="G280" s="40"/>
    </row>
    <row r="281">
      <c r="A281" s="40"/>
      <c r="C281" s="40"/>
      <c r="D281" s="40"/>
      <c r="E281" s="40"/>
      <c r="F281" s="40"/>
      <c r="G281" s="40"/>
    </row>
    <row r="282">
      <c r="A282" s="40"/>
      <c r="C282" s="40"/>
      <c r="D282" s="40"/>
      <c r="E282" s="40"/>
      <c r="F282" s="40"/>
      <c r="G282" s="40"/>
    </row>
    <row r="283">
      <c r="A283" s="40"/>
      <c r="C283" s="40"/>
      <c r="D283" s="40"/>
      <c r="E283" s="40"/>
      <c r="F283" s="40"/>
      <c r="G283" s="40"/>
    </row>
    <row r="284">
      <c r="A284" s="40"/>
      <c r="C284" s="40"/>
      <c r="D284" s="40"/>
      <c r="E284" s="40"/>
      <c r="F284" s="40"/>
      <c r="G284" s="40"/>
    </row>
    <row r="285">
      <c r="A285" s="40"/>
      <c r="C285" s="40"/>
      <c r="D285" s="40"/>
      <c r="E285" s="40"/>
      <c r="F285" s="40"/>
      <c r="G285" s="40"/>
    </row>
    <row r="286">
      <c r="A286" s="40"/>
      <c r="C286" s="40"/>
      <c r="D286" s="40"/>
      <c r="E286" s="40"/>
      <c r="F286" s="40"/>
      <c r="G286" s="40"/>
    </row>
    <row r="287">
      <c r="A287" s="40"/>
      <c r="C287" s="40"/>
      <c r="D287" s="40"/>
      <c r="E287" s="40"/>
      <c r="F287" s="40"/>
      <c r="G287" s="40"/>
    </row>
    <row r="288">
      <c r="A288" s="40"/>
      <c r="C288" s="40"/>
      <c r="D288" s="40"/>
      <c r="E288" s="40"/>
      <c r="F288" s="40"/>
      <c r="G288" s="40"/>
    </row>
    <row r="289">
      <c r="A289" s="40"/>
      <c r="C289" s="40"/>
      <c r="D289" s="40"/>
      <c r="E289" s="40"/>
      <c r="F289" s="40"/>
      <c r="G289" s="40"/>
    </row>
    <row r="290">
      <c r="A290" s="40"/>
      <c r="C290" s="40"/>
      <c r="D290" s="40"/>
      <c r="E290" s="40"/>
      <c r="F290" s="40"/>
      <c r="G290" s="40"/>
    </row>
    <row r="291">
      <c r="A291" s="40"/>
      <c r="C291" s="40"/>
      <c r="D291" s="40"/>
      <c r="E291" s="40"/>
      <c r="F291" s="40"/>
      <c r="G291" s="40"/>
    </row>
    <row r="292">
      <c r="A292" s="40"/>
      <c r="C292" s="40"/>
      <c r="D292" s="40"/>
      <c r="E292" s="40"/>
      <c r="F292" s="40"/>
      <c r="G292" s="40"/>
    </row>
    <row r="293">
      <c r="A293" s="40"/>
      <c r="C293" s="40"/>
      <c r="D293" s="40"/>
      <c r="E293" s="40"/>
      <c r="F293" s="40"/>
      <c r="G293" s="40"/>
    </row>
    <row r="294">
      <c r="A294" s="40"/>
      <c r="C294" s="40"/>
      <c r="D294" s="40"/>
      <c r="E294" s="40"/>
      <c r="F294" s="40"/>
      <c r="G294" s="40"/>
    </row>
    <row r="295">
      <c r="A295" s="40"/>
      <c r="C295" s="40"/>
      <c r="D295" s="40"/>
      <c r="E295" s="40"/>
      <c r="F295" s="40"/>
      <c r="G295" s="40"/>
    </row>
    <row r="296">
      <c r="A296" s="40"/>
      <c r="C296" s="40"/>
      <c r="D296" s="40"/>
      <c r="E296" s="40"/>
      <c r="F296" s="40"/>
      <c r="G296" s="40"/>
    </row>
    <row r="297">
      <c r="A297" s="40"/>
      <c r="C297" s="40"/>
      <c r="D297" s="40"/>
      <c r="E297" s="40"/>
      <c r="F297" s="40"/>
      <c r="G297" s="40"/>
    </row>
    <row r="298">
      <c r="A298" s="40"/>
      <c r="C298" s="40"/>
      <c r="D298" s="40"/>
      <c r="E298" s="40"/>
      <c r="F298" s="40"/>
      <c r="G298" s="40"/>
    </row>
    <row r="299">
      <c r="A299" s="40"/>
      <c r="C299" s="40"/>
      <c r="D299" s="40"/>
      <c r="E299" s="40"/>
      <c r="F299" s="40"/>
      <c r="G299" s="40"/>
    </row>
    <row r="300">
      <c r="A300" s="40"/>
      <c r="C300" s="40"/>
      <c r="D300" s="40"/>
      <c r="E300" s="40"/>
      <c r="F300" s="40"/>
      <c r="G300" s="40"/>
    </row>
    <row r="301">
      <c r="A301" s="40"/>
      <c r="C301" s="40"/>
      <c r="D301" s="40"/>
      <c r="E301" s="40"/>
      <c r="F301" s="40"/>
      <c r="G301" s="40"/>
    </row>
    <row r="302">
      <c r="A302" s="40"/>
      <c r="C302" s="40"/>
      <c r="D302" s="40"/>
      <c r="E302" s="40"/>
      <c r="F302" s="40"/>
      <c r="G302" s="40"/>
    </row>
    <row r="303">
      <c r="A303" s="40"/>
      <c r="C303" s="40"/>
      <c r="D303" s="40"/>
      <c r="E303" s="40"/>
      <c r="F303" s="40"/>
      <c r="G303" s="40"/>
    </row>
    <row r="304">
      <c r="A304" s="40"/>
      <c r="C304" s="40"/>
      <c r="D304" s="40"/>
      <c r="E304" s="40"/>
      <c r="F304" s="40"/>
      <c r="G304" s="40"/>
    </row>
    <row r="305">
      <c r="A305" s="40"/>
      <c r="C305" s="40"/>
      <c r="D305" s="40"/>
      <c r="E305" s="40"/>
      <c r="F305" s="40"/>
      <c r="G305" s="40"/>
    </row>
    <row r="306">
      <c r="A306" s="40"/>
      <c r="C306" s="40"/>
      <c r="D306" s="40"/>
      <c r="E306" s="40"/>
      <c r="F306" s="40"/>
      <c r="G306" s="40"/>
    </row>
    <row r="307">
      <c r="A307" s="40"/>
      <c r="C307" s="40"/>
      <c r="D307" s="40"/>
      <c r="E307" s="40"/>
      <c r="F307" s="40"/>
      <c r="G307" s="40"/>
    </row>
    <row r="308">
      <c r="A308" s="40"/>
      <c r="C308" s="40"/>
      <c r="D308" s="40"/>
      <c r="E308" s="40"/>
      <c r="F308" s="40"/>
      <c r="G308" s="40"/>
    </row>
    <row r="309">
      <c r="A309" s="40"/>
      <c r="C309" s="40"/>
      <c r="D309" s="40"/>
      <c r="E309" s="40"/>
      <c r="F309" s="40"/>
      <c r="G309" s="40"/>
    </row>
    <row r="310">
      <c r="A310" s="40"/>
      <c r="C310" s="40"/>
      <c r="D310" s="40"/>
      <c r="E310" s="40"/>
      <c r="F310" s="40"/>
      <c r="G310" s="40"/>
    </row>
    <row r="311">
      <c r="A311" s="40"/>
      <c r="C311" s="40"/>
      <c r="D311" s="40"/>
      <c r="E311" s="40"/>
      <c r="F311" s="40"/>
      <c r="G311" s="40"/>
    </row>
    <row r="312">
      <c r="A312" s="40"/>
      <c r="C312" s="40"/>
      <c r="D312" s="40"/>
      <c r="E312" s="40"/>
      <c r="F312" s="40"/>
      <c r="G312" s="40"/>
    </row>
    <row r="313">
      <c r="A313" s="40"/>
      <c r="C313" s="40"/>
      <c r="D313" s="40"/>
      <c r="E313" s="40"/>
      <c r="F313" s="40"/>
      <c r="G313" s="40"/>
    </row>
    <row r="314">
      <c r="A314" s="40"/>
      <c r="C314" s="40"/>
      <c r="D314" s="40"/>
      <c r="E314" s="40"/>
      <c r="F314" s="40"/>
      <c r="G314" s="40"/>
    </row>
    <row r="315">
      <c r="A315" s="40"/>
      <c r="C315" s="40"/>
      <c r="D315" s="40"/>
      <c r="E315" s="40"/>
      <c r="F315" s="40"/>
      <c r="G315" s="40"/>
    </row>
    <row r="316">
      <c r="A316" s="40"/>
      <c r="C316" s="40"/>
      <c r="D316" s="40"/>
      <c r="E316" s="40"/>
      <c r="F316" s="40"/>
      <c r="G316" s="40"/>
    </row>
    <row r="317">
      <c r="A317" s="40"/>
      <c r="C317" s="40"/>
      <c r="D317" s="40"/>
      <c r="E317" s="40"/>
      <c r="F317" s="40"/>
      <c r="G317" s="40"/>
    </row>
    <row r="318">
      <c r="A318" s="40"/>
      <c r="C318" s="40"/>
      <c r="D318" s="40"/>
      <c r="E318" s="40"/>
      <c r="F318" s="40"/>
      <c r="G318" s="40"/>
    </row>
    <row r="319">
      <c r="A319" s="40"/>
      <c r="C319" s="40"/>
      <c r="D319" s="40"/>
      <c r="E319" s="40"/>
      <c r="F319" s="40"/>
      <c r="G319" s="40"/>
    </row>
    <row r="320">
      <c r="A320" s="40"/>
      <c r="C320" s="40"/>
      <c r="D320" s="40"/>
      <c r="E320" s="40"/>
      <c r="F320" s="40"/>
      <c r="G320" s="40"/>
    </row>
    <row r="321">
      <c r="A321" s="40"/>
      <c r="C321" s="40"/>
      <c r="D321" s="40"/>
      <c r="E321" s="40"/>
      <c r="F321" s="40"/>
      <c r="G321" s="40"/>
    </row>
    <row r="322">
      <c r="A322" s="40"/>
      <c r="C322" s="40"/>
      <c r="D322" s="40"/>
      <c r="E322" s="40"/>
      <c r="F322" s="40"/>
      <c r="G322" s="40"/>
    </row>
    <row r="323">
      <c r="A323" s="40"/>
      <c r="C323" s="40"/>
      <c r="D323" s="40"/>
      <c r="E323" s="40"/>
      <c r="F323" s="40"/>
      <c r="G323" s="40"/>
    </row>
    <row r="324">
      <c r="A324" s="40"/>
      <c r="C324" s="40"/>
      <c r="D324" s="40"/>
      <c r="E324" s="40"/>
      <c r="F324" s="40"/>
      <c r="G324" s="40"/>
    </row>
    <row r="325">
      <c r="A325" s="40"/>
      <c r="C325" s="40"/>
      <c r="D325" s="40"/>
      <c r="E325" s="40"/>
      <c r="F325" s="40"/>
      <c r="G325" s="40"/>
    </row>
    <row r="326">
      <c r="A326" s="40"/>
      <c r="C326" s="40"/>
      <c r="D326" s="40"/>
      <c r="E326" s="40"/>
      <c r="F326" s="40"/>
      <c r="G326" s="40"/>
    </row>
    <row r="327">
      <c r="A327" s="40"/>
      <c r="C327" s="40"/>
      <c r="D327" s="40"/>
      <c r="E327" s="40"/>
      <c r="F327" s="40"/>
      <c r="G327" s="40"/>
    </row>
    <row r="328">
      <c r="A328" s="40"/>
      <c r="C328" s="40"/>
      <c r="D328" s="40"/>
      <c r="E328" s="40"/>
      <c r="F328" s="40"/>
      <c r="G328" s="40"/>
    </row>
    <row r="329">
      <c r="A329" s="40"/>
      <c r="C329" s="40"/>
      <c r="D329" s="40"/>
      <c r="E329" s="40"/>
      <c r="F329" s="40"/>
      <c r="G329" s="40"/>
    </row>
    <row r="330">
      <c r="A330" s="40"/>
      <c r="C330" s="40"/>
      <c r="D330" s="40"/>
      <c r="E330" s="40"/>
      <c r="F330" s="40"/>
      <c r="G330" s="40"/>
    </row>
    <row r="331">
      <c r="A331" s="40"/>
      <c r="C331" s="40"/>
      <c r="D331" s="40"/>
      <c r="E331" s="40"/>
      <c r="F331" s="40"/>
      <c r="G331" s="40"/>
    </row>
    <row r="332">
      <c r="A332" s="40"/>
      <c r="C332" s="40"/>
      <c r="D332" s="40"/>
      <c r="E332" s="40"/>
      <c r="F332" s="40"/>
      <c r="G332" s="40"/>
    </row>
    <row r="333">
      <c r="A333" s="40"/>
      <c r="C333" s="40"/>
      <c r="D333" s="40"/>
      <c r="E333" s="40"/>
      <c r="F333" s="40"/>
      <c r="G333" s="40"/>
    </row>
    <row r="334">
      <c r="A334" s="40"/>
      <c r="C334" s="40"/>
      <c r="D334" s="40"/>
      <c r="E334" s="40"/>
      <c r="F334" s="40"/>
      <c r="G334" s="40"/>
    </row>
    <row r="335">
      <c r="A335" s="40"/>
      <c r="C335" s="40"/>
      <c r="D335" s="40"/>
      <c r="E335" s="40"/>
      <c r="F335" s="40"/>
      <c r="G335" s="40"/>
    </row>
    <row r="336">
      <c r="A336" s="40"/>
      <c r="C336" s="40"/>
      <c r="D336" s="40"/>
      <c r="E336" s="40"/>
      <c r="F336" s="40"/>
      <c r="G336" s="40"/>
    </row>
    <row r="337">
      <c r="A337" s="40"/>
      <c r="C337" s="40"/>
      <c r="D337" s="40"/>
      <c r="E337" s="40"/>
      <c r="F337" s="40"/>
      <c r="G337" s="40"/>
    </row>
    <row r="338">
      <c r="A338" s="40"/>
      <c r="C338" s="40"/>
      <c r="D338" s="40"/>
      <c r="E338" s="40"/>
      <c r="F338" s="40"/>
      <c r="G338" s="40"/>
    </row>
    <row r="339">
      <c r="A339" s="40"/>
      <c r="C339" s="40"/>
      <c r="D339" s="40"/>
      <c r="E339" s="40"/>
      <c r="F339" s="40"/>
      <c r="G339" s="40"/>
    </row>
    <row r="340">
      <c r="A340" s="40"/>
      <c r="C340" s="40"/>
      <c r="D340" s="40"/>
      <c r="E340" s="40"/>
      <c r="F340" s="40"/>
      <c r="G340" s="40"/>
    </row>
    <row r="341">
      <c r="A341" s="40"/>
      <c r="C341" s="40"/>
      <c r="D341" s="40"/>
      <c r="E341" s="40"/>
      <c r="F341" s="40"/>
      <c r="G341" s="40"/>
    </row>
    <row r="342">
      <c r="A342" s="40"/>
      <c r="C342" s="40"/>
      <c r="D342" s="40"/>
      <c r="E342" s="40"/>
      <c r="F342" s="40"/>
      <c r="G342" s="40"/>
    </row>
    <row r="343">
      <c r="A343" s="40"/>
      <c r="C343" s="40"/>
      <c r="D343" s="40"/>
      <c r="E343" s="40"/>
      <c r="F343" s="40"/>
      <c r="G343" s="40"/>
    </row>
    <row r="344">
      <c r="A344" s="40"/>
      <c r="C344" s="40"/>
      <c r="D344" s="40"/>
      <c r="E344" s="40"/>
      <c r="F344" s="40"/>
      <c r="G344" s="40"/>
    </row>
    <row r="345">
      <c r="A345" s="40"/>
      <c r="C345" s="40"/>
      <c r="D345" s="40"/>
      <c r="E345" s="40"/>
      <c r="F345" s="40"/>
      <c r="G345" s="40"/>
    </row>
    <row r="346">
      <c r="A346" s="40"/>
      <c r="C346" s="40"/>
      <c r="D346" s="40"/>
      <c r="E346" s="40"/>
      <c r="F346" s="40"/>
      <c r="G346" s="40"/>
    </row>
    <row r="347">
      <c r="A347" s="40"/>
      <c r="C347" s="40"/>
      <c r="D347" s="40"/>
      <c r="E347" s="40"/>
      <c r="F347" s="40"/>
      <c r="G347" s="40"/>
    </row>
    <row r="348">
      <c r="A348" s="40"/>
      <c r="C348" s="40"/>
      <c r="D348" s="40"/>
      <c r="E348" s="40"/>
      <c r="F348" s="40"/>
      <c r="G348" s="40"/>
    </row>
    <row r="349">
      <c r="A349" s="40"/>
      <c r="C349" s="40"/>
      <c r="D349" s="40"/>
      <c r="E349" s="40"/>
      <c r="F349" s="40"/>
      <c r="G349" s="40"/>
    </row>
    <row r="350">
      <c r="A350" s="40"/>
      <c r="C350" s="40"/>
      <c r="D350" s="40"/>
      <c r="E350" s="40"/>
      <c r="F350" s="40"/>
      <c r="G350" s="40"/>
    </row>
    <row r="351">
      <c r="A351" s="40"/>
      <c r="C351" s="40"/>
      <c r="D351" s="40"/>
      <c r="E351" s="40"/>
      <c r="F351" s="40"/>
      <c r="G351" s="40"/>
    </row>
    <row r="352">
      <c r="A352" s="40"/>
      <c r="C352" s="40"/>
      <c r="D352" s="40"/>
      <c r="E352" s="40"/>
      <c r="F352" s="40"/>
      <c r="G352" s="40"/>
    </row>
    <row r="353">
      <c r="A353" s="40"/>
      <c r="C353" s="40"/>
      <c r="D353" s="40"/>
      <c r="E353" s="40"/>
      <c r="F353" s="40"/>
      <c r="G353" s="40"/>
    </row>
    <row r="354">
      <c r="A354" s="40"/>
      <c r="C354" s="40"/>
      <c r="D354" s="40"/>
      <c r="E354" s="40"/>
      <c r="F354" s="40"/>
      <c r="G354" s="40"/>
    </row>
    <row r="355">
      <c r="A355" s="40"/>
      <c r="C355" s="40"/>
      <c r="D355" s="40"/>
      <c r="E355" s="40"/>
      <c r="F355" s="40"/>
      <c r="G355" s="40"/>
    </row>
    <row r="356">
      <c r="A356" s="40"/>
      <c r="C356" s="40"/>
      <c r="D356" s="40"/>
      <c r="E356" s="40"/>
      <c r="F356" s="40"/>
      <c r="G356" s="40"/>
    </row>
    <row r="357">
      <c r="A357" s="40"/>
      <c r="C357" s="40"/>
      <c r="D357" s="40"/>
      <c r="E357" s="40"/>
      <c r="F357" s="40"/>
      <c r="G357" s="40"/>
    </row>
    <row r="358">
      <c r="A358" s="40"/>
      <c r="C358" s="40"/>
      <c r="D358" s="40"/>
      <c r="E358" s="40"/>
      <c r="F358" s="40"/>
      <c r="G358" s="40"/>
    </row>
    <row r="359">
      <c r="A359" s="40"/>
      <c r="C359" s="40"/>
      <c r="D359" s="40"/>
      <c r="E359" s="40"/>
      <c r="F359" s="40"/>
      <c r="G359" s="40"/>
    </row>
    <row r="360">
      <c r="A360" s="40"/>
      <c r="C360" s="40"/>
      <c r="D360" s="40"/>
      <c r="E360" s="40"/>
      <c r="F360" s="40"/>
      <c r="G360" s="40"/>
    </row>
    <row r="361">
      <c r="A361" s="40"/>
      <c r="C361" s="40"/>
      <c r="D361" s="40"/>
      <c r="E361" s="40"/>
      <c r="F361" s="40"/>
      <c r="G361" s="40"/>
    </row>
    <row r="362">
      <c r="A362" s="40"/>
      <c r="C362" s="40"/>
      <c r="D362" s="40"/>
      <c r="E362" s="40"/>
      <c r="F362" s="40"/>
      <c r="G362" s="40"/>
    </row>
    <row r="363">
      <c r="A363" s="40"/>
      <c r="C363" s="40"/>
      <c r="D363" s="40"/>
      <c r="E363" s="40"/>
      <c r="F363" s="40"/>
      <c r="G363" s="40"/>
    </row>
    <row r="364">
      <c r="A364" s="40"/>
      <c r="C364" s="40"/>
      <c r="D364" s="40"/>
      <c r="E364" s="40"/>
      <c r="F364" s="40"/>
      <c r="G364" s="40"/>
    </row>
    <row r="365">
      <c r="A365" s="40"/>
      <c r="C365" s="40"/>
      <c r="D365" s="40"/>
      <c r="E365" s="40"/>
      <c r="F365" s="40"/>
      <c r="G365" s="40"/>
    </row>
    <row r="366">
      <c r="A366" s="40"/>
      <c r="C366" s="40"/>
      <c r="D366" s="40"/>
      <c r="E366" s="40"/>
      <c r="F366" s="40"/>
      <c r="G366" s="40"/>
    </row>
    <row r="367">
      <c r="A367" s="40"/>
      <c r="C367" s="40"/>
      <c r="D367" s="40"/>
      <c r="E367" s="40"/>
      <c r="F367" s="40"/>
      <c r="G367" s="40"/>
    </row>
    <row r="368">
      <c r="A368" s="40"/>
      <c r="C368" s="40"/>
      <c r="D368" s="40"/>
      <c r="E368" s="40"/>
      <c r="F368" s="40"/>
      <c r="G368" s="40"/>
    </row>
    <row r="369">
      <c r="A369" s="40"/>
      <c r="C369" s="40"/>
      <c r="D369" s="40"/>
      <c r="E369" s="40"/>
      <c r="F369" s="40"/>
      <c r="G369" s="40"/>
    </row>
    <row r="370">
      <c r="A370" s="40"/>
      <c r="C370" s="40"/>
      <c r="D370" s="40"/>
      <c r="E370" s="40"/>
      <c r="F370" s="40"/>
      <c r="G370" s="40"/>
    </row>
    <row r="371">
      <c r="A371" s="40"/>
      <c r="C371" s="40"/>
      <c r="D371" s="40"/>
      <c r="E371" s="40"/>
      <c r="F371" s="40"/>
      <c r="G371" s="40"/>
    </row>
    <row r="372">
      <c r="A372" s="40"/>
      <c r="C372" s="40"/>
      <c r="D372" s="40"/>
      <c r="E372" s="40"/>
      <c r="F372" s="40"/>
      <c r="G372" s="40"/>
    </row>
    <row r="373">
      <c r="A373" s="40"/>
      <c r="C373" s="40"/>
      <c r="D373" s="40"/>
      <c r="E373" s="40"/>
      <c r="F373" s="40"/>
      <c r="G373" s="40"/>
    </row>
    <row r="374">
      <c r="A374" s="40"/>
      <c r="C374" s="40"/>
      <c r="D374" s="40"/>
      <c r="E374" s="40"/>
      <c r="F374" s="40"/>
      <c r="G374" s="40"/>
    </row>
    <row r="375">
      <c r="A375" s="40"/>
      <c r="C375" s="40"/>
      <c r="D375" s="40"/>
      <c r="E375" s="40"/>
      <c r="F375" s="40"/>
      <c r="G375" s="40"/>
    </row>
    <row r="376">
      <c r="A376" s="40"/>
      <c r="C376" s="40"/>
      <c r="D376" s="40"/>
      <c r="E376" s="40"/>
      <c r="F376" s="40"/>
      <c r="G376" s="40"/>
    </row>
    <row r="377">
      <c r="A377" s="40"/>
      <c r="C377" s="40"/>
      <c r="D377" s="40"/>
      <c r="E377" s="40"/>
      <c r="F377" s="40"/>
      <c r="G377" s="40"/>
    </row>
    <row r="378">
      <c r="A378" s="40"/>
      <c r="C378" s="40"/>
      <c r="D378" s="40"/>
      <c r="E378" s="40"/>
      <c r="F378" s="40"/>
      <c r="G378" s="40"/>
    </row>
    <row r="379">
      <c r="A379" s="40"/>
      <c r="C379" s="40"/>
      <c r="D379" s="40"/>
      <c r="E379" s="40"/>
      <c r="F379" s="40"/>
      <c r="G379" s="40"/>
    </row>
    <row r="380">
      <c r="A380" s="40"/>
      <c r="C380" s="40"/>
      <c r="D380" s="40"/>
      <c r="E380" s="40"/>
      <c r="F380" s="40"/>
      <c r="G380" s="40"/>
    </row>
    <row r="381">
      <c r="A381" s="40"/>
      <c r="C381" s="40"/>
      <c r="D381" s="40"/>
      <c r="E381" s="40"/>
      <c r="F381" s="40"/>
      <c r="G381" s="40"/>
    </row>
    <row r="382">
      <c r="A382" s="40"/>
      <c r="C382" s="40"/>
      <c r="D382" s="40"/>
      <c r="E382" s="40"/>
      <c r="F382" s="40"/>
      <c r="G382" s="40"/>
    </row>
    <row r="383">
      <c r="A383" s="40"/>
      <c r="C383" s="40"/>
      <c r="D383" s="40"/>
      <c r="E383" s="40"/>
      <c r="F383" s="40"/>
      <c r="G383" s="40"/>
    </row>
    <row r="384">
      <c r="A384" s="40"/>
      <c r="C384" s="40"/>
      <c r="D384" s="40"/>
      <c r="E384" s="40"/>
      <c r="F384" s="40"/>
      <c r="G384" s="40"/>
    </row>
    <row r="385">
      <c r="A385" s="40"/>
      <c r="C385" s="40"/>
      <c r="D385" s="40"/>
      <c r="E385" s="40"/>
      <c r="F385" s="40"/>
      <c r="G385" s="40"/>
    </row>
    <row r="386">
      <c r="A386" s="40"/>
      <c r="C386" s="40"/>
      <c r="D386" s="40"/>
      <c r="E386" s="40"/>
      <c r="F386" s="40"/>
      <c r="G386" s="40"/>
    </row>
    <row r="387">
      <c r="A387" s="40"/>
      <c r="C387" s="40"/>
      <c r="D387" s="40"/>
      <c r="E387" s="40"/>
      <c r="F387" s="40"/>
      <c r="G387" s="40"/>
    </row>
    <row r="388">
      <c r="A388" s="40"/>
      <c r="C388" s="40"/>
      <c r="D388" s="40"/>
      <c r="E388" s="40"/>
      <c r="F388" s="40"/>
      <c r="G388" s="40"/>
    </row>
    <row r="389">
      <c r="A389" s="40"/>
      <c r="C389" s="40"/>
      <c r="D389" s="40"/>
      <c r="E389" s="40"/>
      <c r="F389" s="40"/>
      <c r="G389" s="40"/>
    </row>
    <row r="390">
      <c r="A390" s="40"/>
      <c r="C390" s="40"/>
      <c r="D390" s="40"/>
      <c r="E390" s="40"/>
      <c r="F390" s="40"/>
      <c r="G390" s="40"/>
    </row>
    <row r="391">
      <c r="A391" s="40"/>
      <c r="C391" s="40"/>
      <c r="D391" s="40"/>
      <c r="E391" s="40"/>
      <c r="F391" s="40"/>
      <c r="G391" s="40"/>
    </row>
    <row r="392">
      <c r="A392" s="40"/>
      <c r="C392" s="40"/>
      <c r="D392" s="40"/>
      <c r="E392" s="40"/>
      <c r="F392" s="40"/>
      <c r="G392" s="40"/>
    </row>
    <row r="393">
      <c r="A393" s="40"/>
      <c r="C393" s="40"/>
      <c r="D393" s="40"/>
      <c r="E393" s="40"/>
      <c r="F393" s="40"/>
      <c r="G393" s="40"/>
    </row>
    <row r="394">
      <c r="A394" s="40"/>
      <c r="C394" s="40"/>
      <c r="D394" s="40"/>
      <c r="E394" s="40"/>
      <c r="F394" s="40"/>
      <c r="G394" s="40"/>
    </row>
    <row r="395">
      <c r="A395" s="40"/>
      <c r="C395" s="40"/>
      <c r="D395" s="40"/>
      <c r="E395" s="40"/>
      <c r="F395" s="40"/>
      <c r="G395" s="40"/>
    </row>
    <row r="396">
      <c r="A396" s="40"/>
      <c r="C396" s="40"/>
      <c r="D396" s="40"/>
      <c r="E396" s="40"/>
      <c r="F396" s="40"/>
      <c r="G396" s="40"/>
    </row>
    <row r="397">
      <c r="A397" s="40"/>
      <c r="C397" s="40"/>
      <c r="D397" s="40"/>
      <c r="E397" s="40"/>
      <c r="F397" s="40"/>
      <c r="G397" s="40"/>
    </row>
    <row r="398">
      <c r="A398" s="40"/>
      <c r="C398" s="40"/>
      <c r="D398" s="40"/>
      <c r="E398" s="40"/>
      <c r="F398" s="40"/>
      <c r="G398" s="40"/>
    </row>
    <row r="399">
      <c r="A399" s="40"/>
      <c r="C399" s="40"/>
      <c r="D399" s="40"/>
      <c r="E399" s="40"/>
      <c r="F399" s="40"/>
      <c r="G399" s="40"/>
    </row>
    <row r="400">
      <c r="A400" s="40"/>
      <c r="C400" s="40"/>
      <c r="D400" s="40"/>
      <c r="E400" s="40"/>
      <c r="F400" s="40"/>
      <c r="G400" s="40"/>
    </row>
    <row r="401">
      <c r="A401" s="40"/>
      <c r="C401" s="40"/>
      <c r="D401" s="40"/>
      <c r="E401" s="40"/>
      <c r="F401" s="40"/>
      <c r="G401" s="40"/>
    </row>
    <row r="402">
      <c r="A402" s="40"/>
      <c r="C402" s="40"/>
      <c r="D402" s="40"/>
      <c r="E402" s="40"/>
      <c r="F402" s="40"/>
      <c r="G402" s="40"/>
    </row>
    <row r="403">
      <c r="A403" s="40"/>
      <c r="C403" s="40"/>
      <c r="D403" s="40"/>
      <c r="E403" s="40"/>
      <c r="F403" s="40"/>
      <c r="G403" s="40"/>
    </row>
    <row r="404">
      <c r="A404" s="40"/>
      <c r="C404" s="40"/>
      <c r="D404" s="40"/>
      <c r="E404" s="40"/>
      <c r="F404" s="40"/>
      <c r="G404" s="40"/>
    </row>
    <row r="405">
      <c r="A405" s="40"/>
      <c r="C405" s="40"/>
      <c r="D405" s="40"/>
      <c r="E405" s="40"/>
      <c r="F405" s="40"/>
      <c r="G405" s="40"/>
    </row>
    <row r="406">
      <c r="A406" s="40"/>
      <c r="C406" s="40"/>
      <c r="D406" s="40"/>
      <c r="E406" s="40"/>
      <c r="F406" s="40"/>
      <c r="G406" s="40"/>
    </row>
    <row r="407">
      <c r="A407" s="40"/>
      <c r="C407" s="40"/>
      <c r="D407" s="40"/>
      <c r="E407" s="40"/>
      <c r="F407" s="40"/>
      <c r="G407" s="40"/>
    </row>
    <row r="408">
      <c r="A408" s="40"/>
      <c r="C408" s="40"/>
      <c r="D408" s="40"/>
      <c r="E408" s="40"/>
      <c r="F408" s="40"/>
      <c r="G408" s="40"/>
    </row>
    <row r="409">
      <c r="A409" s="40"/>
      <c r="C409" s="40"/>
      <c r="D409" s="40"/>
      <c r="E409" s="40"/>
      <c r="F409" s="40"/>
      <c r="G409" s="40"/>
    </row>
    <row r="410">
      <c r="A410" s="40"/>
      <c r="C410" s="40"/>
      <c r="D410" s="40"/>
      <c r="E410" s="40"/>
      <c r="F410" s="40"/>
      <c r="G410" s="40"/>
    </row>
    <row r="411">
      <c r="A411" s="40"/>
      <c r="C411" s="40"/>
      <c r="D411" s="40"/>
      <c r="E411" s="40"/>
      <c r="F411" s="40"/>
      <c r="G411" s="40"/>
    </row>
    <row r="412">
      <c r="A412" s="40"/>
      <c r="C412" s="40"/>
      <c r="D412" s="40"/>
      <c r="E412" s="40"/>
      <c r="F412" s="40"/>
      <c r="G412" s="40"/>
    </row>
    <row r="413">
      <c r="A413" s="40"/>
      <c r="C413" s="40"/>
      <c r="D413" s="40"/>
      <c r="E413" s="40"/>
      <c r="F413" s="40"/>
      <c r="G413" s="40"/>
    </row>
    <row r="414">
      <c r="A414" s="40"/>
      <c r="C414" s="40"/>
      <c r="D414" s="40"/>
      <c r="E414" s="40"/>
      <c r="F414" s="40"/>
      <c r="G414" s="40"/>
    </row>
    <row r="415">
      <c r="A415" s="40"/>
      <c r="C415" s="40"/>
      <c r="D415" s="40"/>
      <c r="E415" s="40"/>
      <c r="F415" s="40"/>
      <c r="G415" s="40"/>
    </row>
    <row r="416">
      <c r="A416" s="40"/>
      <c r="C416" s="40"/>
      <c r="D416" s="40"/>
      <c r="E416" s="40"/>
      <c r="F416" s="40"/>
      <c r="G416" s="40"/>
    </row>
    <row r="417">
      <c r="A417" s="40"/>
      <c r="C417" s="40"/>
      <c r="D417" s="40"/>
      <c r="E417" s="40"/>
      <c r="F417" s="40"/>
      <c r="G417" s="40"/>
    </row>
    <row r="418">
      <c r="A418" s="40"/>
      <c r="C418" s="40"/>
      <c r="D418" s="40"/>
      <c r="E418" s="40"/>
      <c r="F418" s="40"/>
      <c r="G418" s="40"/>
    </row>
    <row r="419">
      <c r="A419" s="40"/>
      <c r="C419" s="40"/>
      <c r="D419" s="40"/>
      <c r="E419" s="40"/>
      <c r="F419" s="40"/>
      <c r="G419" s="40"/>
    </row>
    <row r="420">
      <c r="A420" s="40"/>
      <c r="C420" s="40"/>
      <c r="D420" s="40"/>
      <c r="E420" s="40"/>
      <c r="F420" s="40"/>
      <c r="G420" s="40"/>
    </row>
    <row r="421">
      <c r="A421" s="40"/>
      <c r="C421" s="40"/>
      <c r="D421" s="40"/>
      <c r="E421" s="40"/>
      <c r="F421" s="40"/>
      <c r="G421" s="40"/>
    </row>
    <row r="422">
      <c r="A422" s="40"/>
      <c r="C422" s="40"/>
      <c r="D422" s="40"/>
      <c r="E422" s="40"/>
      <c r="F422" s="40"/>
      <c r="G422" s="40"/>
    </row>
    <row r="423">
      <c r="A423" s="40"/>
      <c r="C423" s="40"/>
      <c r="D423" s="40"/>
      <c r="E423" s="40"/>
      <c r="F423" s="40"/>
      <c r="G423" s="40"/>
    </row>
    <row r="424">
      <c r="A424" s="40"/>
      <c r="C424" s="40"/>
      <c r="D424" s="40"/>
      <c r="E424" s="40"/>
      <c r="F424" s="40"/>
      <c r="G424" s="40"/>
    </row>
    <row r="425">
      <c r="A425" s="40"/>
      <c r="C425" s="40"/>
      <c r="D425" s="40"/>
      <c r="E425" s="40"/>
      <c r="F425" s="40"/>
      <c r="G425" s="40"/>
    </row>
    <row r="426">
      <c r="A426" s="40"/>
      <c r="C426" s="40"/>
      <c r="D426" s="40"/>
      <c r="E426" s="40"/>
      <c r="F426" s="40"/>
      <c r="G426" s="40"/>
    </row>
    <row r="427">
      <c r="A427" s="40"/>
      <c r="C427" s="40"/>
      <c r="D427" s="40"/>
      <c r="E427" s="40"/>
      <c r="F427" s="40"/>
      <c r="G427" s="40"/>
    </row>
    <row r="428">
      <c r="A428" s="40"/>
      <c r="C428" s="40"/>
      <c r="D428" s="40"/>
      <c r="E428" s="40"/>
      <c r="F428" s="40"/>
      <c r="G428" s="40"/>
    </row>
    <row r="429">
      <c r="A429" s="40"/>
      <c r="C429" s="40"/>
      <c r="D429" s="40"/>
      <c r="E429" s="40"/>
      <c r="F429" s="40"/>
      <c r="G429" s="40"/>
    </row>
    <row r="430">
      <c r="A430" s="40"/>
      <c r="C430" s="40"/>
      <c r="D430" s="40"/>
      <c r="E430" s="40"/>
      <c r="F430" s="40"/>
      <c r="G430" s="40"/>
    </row>
    <row r="431">
      <c r="A431" s="40"/>
      <c r="C431" s="40"/>
      <c r="D431" s="40"/>
      <c r="E431" s="40"/>
      <c r="F431" s="40"/>
      <c r="G431" s="40"/>
    </row>
    <row r="432">
      <c r="A432" s="40"/>
      <c r="C432" s="40"/>
      <c r="D432" s="40"/>
      <c r="E432" s="40"/>
      <c r="F432" s="40"/>
      <c r="G432" s="40"/>
    </row>
    <row r="433">
      <c r="A433" s="40"/>
      <c r="C433" s="40"/>
      <c r="D433" s="40"/>
      <c r="E433" s="40"/>
      <c r="F433" s="40"/>
      <c r="G433" s="40"/>
    </row>
    <row r="434">
      <c r="A434" s="40"/>
      <c r="C434" s="40"/>
      <c r="D434" s="40"/>
      <c r="E434" s="40"/>
      <c r="F434" s="40"/>
      <c r="G434" s="40"/>
    </row>
    <row r="435">
      <c r="A435" s="40"/>
      <c r="C435" s="40"/>
      <c r="D435" s="40"/>
      <c r="E435" s="40"/>
      <c r="F435" s="40"/>
      <c r="G435" s="40"/>
    </row>
    <row r="436">
      <c r="A436" s="40"/>
      <c r="C436" s="40"/>
      <c r="D436" s="40"/>
      <c r="E436" s="40"/>
      <c r="F436" s="40"/>
      <c r="G436" s="40"/>
    </row>
    <row r="437">
      <c r="A437" s="40"/>
      <c r="C437" s="40"/>
      <c r="D437" s="40"/>
      <c r="E437" s="40"/>
      <c r="F437" s="40"/>
      <c r="G437" s="40"/>
    </row>
    <row r="438">
      <c r="A438" s="40"/>
      <c r="C438" s="40"/>
      <c r="D438" s="40"/>
      <c r="E438" s="40"/>
      <c r="F438" s="40"/>
      <c r="G438" s="40"/>
    </row>
    <row r="439">
      <c r="A439" s="40"/>
      <c r="C439" s="40"/>
      <c r="D439" s="40"/>
      <c r="E439" s="40"/>
      <c r="F439" s="40"/>
      <c r="G439" s="40"/>
    </row>
    <row r="440">
      <c r="A440" s="40"/>
      <c r="C440" s="40"/>
      <c r="D440" s="40"/>
      <c r="E440" s="40"/>
      <c r="F440" s="40"/>
      <c r="G440" s="40"/>
    </row>
    <row r="441">
      <c r="A441" s="40"/>
      <c r="C441" s="40"/>
      <c r="D441" s="40"/>
      <c r="E441" s="40"/>
      <c r="F441" s="40"/>
      <c r="G441" s="40"/>
    </row>
    <row r="442">
      <c r="A442" s="40"/>
      <c r="C442" s="40"/>
      <c r="D442" s="40"/>
      <c r="E442" s="40"/>
      <c r="F442" s="40"/>
      <c r="G442" s="40"/>
    </row>
    <row r="443">
      <c r="A443" s="40"/>
      <c r="C443" s="40"/>
      <c r="D443" s="40"/>
      <c r="E443" s="40"/>
      <c r="F443" s="40"/>
      <c r="G443" s="40"/>
    </row>
    <row r="444">
      <c r="A444" s="40"/>
      <c r="C444" s="40"/>
      <c r="D444" s="40"/>
      <c r="E444" s="40"/>
      <c r="F444" s="40"/>
      <c r="G444" s="40"/>
    </row>
    <row r="445">
      <c r="A445" s="40"/>
      <c r="C445" s="40"/>
      <c r="D445" s="40"/>
      <c r="E445" s="40"/>
      <c r="F445" s="40"/>
      <c r="G445" s="40"/>
    </row>
    <row r="446">
      <c r="A446" s="40"/>
      <c r="C446" s="40"/>
      <c r="D446" s="40"/>
      <c r="E446" s="40"/>
      <c r="F446" s="40"/>
      <c r="G446" s="40"/>
    </row>
    <row r="447">
      <c r="A447" s="40"/>
      <c r="C447" s="40"/>
      <c r="D447" s="40"/>
      <c r="E447" s="40"/>
      <c r="F447" s="40"/>
      <c r="G447" s="40"/>
    </row>
    <row r="448">
      <c r="A448" s="40"/>
      <c r="C448" s="40"/>
      <c r="D448" s="40"/>
      <c r="E448" s="40"/>
      <c r="F448" s="40"/>
      <c r="G448" s="40"/>
    </row>
    <row r="449">
      <c r="A449" s="40"/>
      <c r="C449" s="40"/>
      <c r="D449" s="40"/>
      <c r="E449" s="40"/>
      <c r="F449" s="40"/>
      <c r="G449" s="40"/>
    </row>
    <row r="450">
      <c r="A450" s="40"/>
      <c r="C450" s="40"/>
      <c r="D450" s="40"/>
      <c r="E450" s="40"/>
      <c r="F450" s="40"/>
      <c r="G450" s="40"/>
    </row>
    <row r="451">
      <c r="A451" s="40"/>
      <c r="C451" s="40"/>
      <c r="D451" s="40"/>
      <c r="E451" s="40"/>
      <c r="F451" s="40"/>
      <c r="G451" s="40"/>
    </row>
    <row r="452">
      <c r="A452" s="40"/>
      <c r="C452" s="40"/>
      <c r="D452" s="40"/>
      <c r="E452" s="40"/>
      <c r="F452" s="40"/>
      <c r="G452" s="40"/>
    </row>
    <row r="453">
      <c r="A453" s="40"/>
      <c r="C453" s="40"/>
      <c r="D453" s="40"/>
      <c r="E453" s="40"/>
      <c r="F453" s="40"/>
      <c r="G453" s="40"/>
    </row>
    <row r="454">
      <c r="A454" s="40"/>
      <c r="C454" s="40"/>
      <c r="D454" s="40"/>
      <c r="E454" s="40"/>
      <c r="F454" s="40"/>
      <c r="G454" s="40"/>
    </row>
    <row r="455">
      <c r="A455" s="40"/>
      <c r="C455" s="40"/>
      <c r="D455" s="40"/>
      <c r="E455" s="40"/>
      <c r="F455" s="40"/>
      <c r="G455" s="40"/>
    </row>
    <row r="456">
      <c r="A456" s="40"/>
      <c r="C456" s="40"/>
      <c r="D456" s="40"/>
      <c r="E456" s="40"/>
      <c r="F456" s="40"/>
      <c r="G456" s="40"/>
    </row>
    <row r="457">
      <c r="A457" s="40"/>
      <c r="C457" s="40"/>
      <c r="D457" s="40"/>
      <c r="E457" s="40"/>
      <c r="F457" s="40"/>
      <c r="G457" s="40"/>
    </row>
    <row r="458">
      <c r="A458" s="40"/>
      <c r="C458" s="40"/>
      <c r="D458" s="40"/>
      <c r="E458" s="40"/>
      <c r="F458" s="40"/>
      <c r="G458" s="40"/>
    </row>
    <row r="459">
      <c r="A459" s="40"/>
      <c r="C459" s="40"/>
      <c r="D459" s="40"/>
      <c r="E459" s="40"/>
      <c r="F459" s="40"/>
      <c r="G459" s="40"/>
    </row>
    <row r="460">
      <c r="A460" s="40"/>
      <c r="C460" s="40"/>
      <c r="D460" s="40"/>
      <c r="E460" s="40"/>
      <c r="F460" s="40"/>
      <c r="G460" s="40"/>
    </row>
    <row r="461">
      <c r="A461" s="40"/>
      <c r="C461" s="40"/>
      <c r="D461" s="40"/>
      <c r="E461" s="40"/>
      <c r="F461" s="40"/>
      <c r="G461" s="40"/>
    </row>
    <row r="462">
      <c r="A462" s="40"/>
      <c r="C462" s="40"/>
      <c r="D462" s="40"/>
      <c r="E462" s="40"/>
      <c r="F462" s="40"/>
      <c r="G462" s="40"/>
    </row>
    <row r="463">
      <c r="A463" s="40"/>
      <c r="C463" s="40"/>
      <c r="D463" s="40"/>
      <c r="E463" s="40"/>
      <c r="F463" s="40"/>
      <c r="G463" s="40"/>
    </row>
    <row r="464">
      <c r="A464" s="40"/>
      <c r="C464" s="40"/>
      <c r="D464" s="40"/>
      <c r="E464" s="40"/>
      <c r="F464" s="40"/>
      <c r="G464" s="40"/>
    </row>
    <row r="465">
      <c r="A465" s="40"/>
      <c r="C465" s="40"/>
      <c r="D465" s="40"/>
      <c r="E465" s="40"/>
      <c r="F465" s="40"/>
      <c r="G465" s="40"/>
    </row>
    <row r="466">
      <c r="A466" s="40"/>
      <c r="C466" s="40"/>
      <c r="D466" s="40"/>
      <c r="E466" s="40"/>
      <c r="F466" s="40"/>
      <c r="G466" s="40"/>
    </row>
    <row r="467">
      <c r="A467" s="40"/>
      <c r="C467" s="40"/>
      <c r="D467" s="40"/>
      <c r="E467" s="40"/>
      <c r="F467" s="40"/>
      <c r="G467" s="40"/>
    </row>
    <row r="468">
      <c r="A468" s="40"/>
      <c r="C468" s="40"/>
      <c r="D468" s="40"/>
      <c r="E468" s="40"/>
      <c r="F468" s="40"/>
      <c r="G468" s="40"/>
    </row>
    <row r="469">
      <c r="A469" s="40"/>
      <c r="C469" s="40"/>
      <c r="D469" s="40"/>
      <c r="E469" s="40"/>
      <c r="F469" s="40"/>
      <c r="G469" s="40"/>
    </row>
    <row r="470">
      <c r="A470" s="40"/>
      <c r="C470" s="40"/>
      <c r="D470" s="40"/>
      <c r="E470" s="40"/>
      <c r="F470" s="40"/>
      <c r="G470" s="40"/>
    </row>
    <row r="471">
      <c r="A471" s="40"/>
      <c r="C471" s="40"/>
      <c r="D471" s="40"/>
      <c r="E471" s="40"/>
      <c r="F471" s="40"/>
      <c r="G471" s="40"/>
    </row>
    <row r="472">
      <c r="A472" s="40"/>
      <c r="C472" s="40"/>
      <c r="D472" s="40"/>
      <c r="E472" s="40"/>
      <c r="F472" s="40"/>
      <c r="G472" s="40"/>
    </row>
    <row r="473">
      <c r="A473" s="40"/>
      <c r="C473" s="40"/>
      <c r="D473" s="40"/>
      <c r="E473" s="40"/>
      <c r="F473" s="40"/>
      <c r="G473" s="40"/>
    </row>
    <row r="474">
      <c r="A474" s="40"/>
      <c r="C474" s="40"/>
      <c r="D474" s="40"/>
      <c r="E474" s="40"/>
      <c r="F474" s="40"/>
      <c r="G474" s="40"/>
    </row>
    <row r="475">
      <c r="A475" s="40"/>
      <c r="C475" s="40"/>
      <c r="D475" s="40"/>
      <c r="E475" s="40"/>
      <c r="F475" s="40"/>
      <c r="G475" s="40"/>
    </row>
    <row r="476">
      <c r="A476" s="40"/>
      <c r="C476" s="40"/>
      <c r="D476" s="40"/>
      <c r="E476" s="40"/>
      <c r="F476" s="40"/>
      <c r="G476" s="40"/>
    </row>
    <row r="477">
      <c r="A477" s="40"/>
      <c r="C477" s="40"/>
      <c r="D477" s="40"/>
      <c r="E477" s="40"/>
      <c r="F477" s="40"/>
      <c r="G477" s="40"/>
    </row>
    <row r="478">
      <c r="A478" s="40"/>
      <c r="C478" s="40"/>
      <c r="D478" s="40"/>
      <c r="E478" s="40"/>
      <c r="F478" s="40"/>
      <c r="G478" s="40"/>
    </row>
    <row r="479">
      <c r="A479" s="40"/>
      <c r="C479" s="40"/>
      <c r="D479" s="40"/>
      <c r="E479" s="40"/>
      <c r="F479" s="40"/>
      <c r="G479" s="40"/>
    </row>
    <row r="480">
      <c r="A480" s="40"/>
      <c r="C480" s="40"/>
      <c r="D480" s="40"/>
      <c r="E480" s="40"/>
      <c r="F480" s="40"/>
      <c r="G480" s="40"/>
    </row>
    <row r="481">
      <c r="A481" s="40"/>
      <c r="C481" s="40"/>
      <c r="D481" s="40"/>
      <c r="E481" s="40"/>
      <c r="F481" s="40"/>
      <c r="G481" s="40"/>
    </row>
    <row r="482">
      <c r="A482" s="40"/>
      <c r="C482" s="40"/>
      <c r="D482" s="40"/>
      <c r="E482" s="40"/>
      <c r="F482" s="40"/>
      <c r="G482" s="40"/>
    </row>
    <row r="483">
      <c r="A483" s="40"/>
      <c r="C483" s="40"/>
      <c r="D483" s="40"/>
      <c r="E483" s="40"/>
      <c r="F483" s="40"/>
      <c r="G483" s="40"/>
    </row>
    <row r="484">
      <c r="A484" s="40"/>
      <c r="C484" s="40"/>
      <c r="D484" s="40"/>
      <c r="E484" s="40"/>
      <c r="F484" s="40"/>
      <c r="G484" s="40"/>
    </row>
    <row r="485">
      <c r="A485" s="40"/>
      <c r="C485" s="40"/>
      <c r="D485" s="40"/>
      <c r="E485" s="40"/>
      <c r="F485" s="40"/>
      <c r="G485" s="40"/>
    </row>
    <row r="486">
      <c r="A486" s="40"/>
      <c r="C486" s="40"/>
      <c r="D486" s="40"/>
      <c r="E486" s="40"/>
      <c r="F486" s="40"/>
      <c r="G486" s="40"/>
    </row>
    <row r="487">
      <c r="A487" s="40"/>
      <c r="C487" s="40"/>
      <c r="D487" s="40"/>
      <c r="E487" s="40"/>
      <c r="F487" s="40"/>
      <c r="G487" s="40"/>
    </row>
    <row r="488">
      <c r="A488" s="40"/>
      <c r="C488" s="40"/>
      <c r="D488" s="40"/>
      <c r="E488" s="40"/>
      <c r="F488" s="40"/>
      <c r="G488" s="40"/>
    </row>
    <row r="489">
      <c r="A489" s="40"/>
      <c r="C489" s="40"/>
      <c r="D489" s="40"/>
      <c r="E489" s="40"/>
      <c r="F489" s="40"/>
      <c r="G489" s="40"/>
    </row>
    <row r="490">
      <c r="A490" s="40"/>
      <c r="C490" s="40"/>
      <c r="D490" s="40"/>
      <c r="E490" s="40"/>
      <c r="F490" s="40"/>
      <c r="G490" s="40"/>
    </row>
    <row r="491">
      <c r="A491" s="40"/>
      <c r="C491" s="40"/>
      <c r="D491" s="40"/>
      <c r="E491" s="40"/>
      <c r="F491" s="40"/>
      <c r="G491" s="40"/>
    </row>
    <row r="492">
      <c r="A492" s="40"/>
      <c r="C492" s="40"/>
      <c r="D492" s="40"/>
      <c r="E492" s="40"/>
      <c r="F492" s="40"/>
      <c r="G492" s="40"/>
    </row>
    <row r="493">
      <c r="A493" s="40"/>
      <c r="C493" s="40"/>
      <c r="D493" s="40"/>
      <c r="E493" s="40"/>
      <c r="F493" s="40"/>
      <c r="G493" s="40"/>
    </row>
    <row r="494">
      <c r="A494" s="40"/>
      <c r="C494" s="40"/>
      <c r="D494" s="40"/>
      <c r="E494" s="40"/>
      <c r="F494" s="40"/>
      <c r="G494" s="40"/>
    </row>
    <row r="495">
      <c r="A495" s="40"/>
      <c r="C495" s="40"/>
      <c r="D495" s="40"/>
      <c r="E495" s="40"/>
      <c r="F495" s="40"/>
      <c r="G495" s="40"/>
    </row>
    <row r="496">
      <c r="A496" s="40"/>
      <c r="C496" s="40"/>
      <c r="D496" s="40"/>
      <c r="E496" s="40"/>
      <c r="F496" s="40"/>
      <c r="G496" s="40"/>
    </row>
    <row r="497">
      <c r="A497" s="40"/>
      <c r="C497" s="40"/>
      <c r="D497" s="40"/>
      <c r="E497" s="40"/>
      <c r="F497" s="40"/>
      <c r="G497" s="40"/>
    </row>
    <row r="498">
      <c r="A498" s="40"/>
      <c r="C498" s="40"/>
      <c r="D498" s="40"/>
      <c r="E498" s="40"/>
      <c r="F498" s="40"/>
      <c r="G498" s="40"/>
    </row>
    <row r="499">
      <c r="A499" s="40"/>
      <c r="C499" s="40"/>
      <c r="D499" s="40"/>
      <c r="E499" s="40"/>
      <c r="F499" s="40"/>
      <c r="G499" s="40"/>
    </row>
    <row r="500">
      <c r="A500" s="40"/>
      <c r="C500" s="40"/>
      <c r="D500" s="40"/>
      <c r="E500" s="40"/>
      <c r="F500" s="40"/>
      <c r="G500" s="40"/>
    </row>
    <row r="501">
      <c r="A501" s="40"/>
      <c r="C501" s="40"/>
      <c r="D501" s="40"/>
      <c r="E501" s="40"/>
      <c r="F501" s="40"/>
      <c r="G501" s="40"/>
    </row>
    <row r="502">
      <c r="A502" s="40"/>
      <c r="C502" s="40"/>
      <c r="D502" s="40"/>
      <c r="E502" s="40"/>
      <c r="F502" s="40"/>
      <c r="G502" s="40"/>
    </row>
    <row r="503">
      <c r="A503" s="40"/>
      <c r="C503" s="40"/>
      <c r="D503" s="40"/>
      <c r="E503" s="40"/>
      <c r="F503" s="40"/>
      <c r="G503" s="40"/>
    </row>
    <row r="504">
      <c r="A504" s="40"/>
      <c r="C504" s="40"/>
      <c r="D504" s="40"/>
      <c r="E504" s="40"/>
      <c r="F504" s="40"/>
      <c r="G504" s="40"/>
    </row>
    <row r="505">
      <c r="A505" s="40"/>
      <c r="C505" s="40"/>
      <c r="D505" s="40"/>
      <c r="E505" s="40"/>
      <c r="F505" s="40"/>
      <c r="G505" s="40"/>
    </row>
    <row r="506">
      <c r="A506" s="40"/>
      <c r="C506" s="40"/>
      <c r="D506" s="40"/>
      <c r="E506" s="40"/>
      <c r="F506" s="40"/>
      <c r="G506" s="40"/>
    </row>
    <row r="507">
      <c r="A507" s="40"/>
      <c r="C507" s="40"/>
      <c r="D507" s="40"/>
      <c r="E507" s="40"/>
      <c r="F507" s="40"/>
      <c r="G507" s="40"/>
    </row>
    <row r="508">
      <c r="A508" s="40"/>
      <c r="C508" s="40"/>
      <c r="D508" s="40"/>
      <c r="E508" s="40"/>
      <c r="F508" s="40"/>
      <c r="G508" s="40"/>
    </row>
    <row r="509">
      <c r="A509" s="40"/>
      <c r="C509" s="40"/>
      <c r="D509" s="40"/>
      <c r="E509" s="40"/>
      <c r="F509" s="40"/>
      <c r="G509" s="40"/>
    </row>
    <row r="510">
      <c r="A510" s="40"/>
      <c r="C510" s="40"/>
      <c r="D510" s="40"/>
      <c r="E510" s="40"/>
      <c r="F510" s="40"/>
      <c r="G510" s="40"/>
    </row>
    <row r="511">
      <c r="A511" s="40"/>
      <c r="C511" s="40"/>
      <c r="D511" s="40"/>
      <c r="E511" s="40"/>
      <c r="F511" s="40"/>
      <c r="G511" s="40"/>
    </row>
    <row r="512">
      <c r="A512" s="40"/>
      <c r="C512" s="40"/>
      <c r="D512" s="40"/>
      <c r="E512" s="40"/>
      <c r="F512" s="40"/>
      <c r="G512" s="40"/>
    </row>
    <row r="513">
      <c r="A513" s="40"/>
      <c r="C513" s="40"/>
      <c r="D513" s="40"/>
      <c r="E513" s="40"/>
      <c r="F513" s="40"/>
      <c r="G513" s="40"/>
    </row>
    <row r="514">
      <c r="A514" s="40"/>
      <c r="C514" s="40"/>
      <c r="D514" s="40"/>
      <c r="E514" s="40"/>
      <c r="F514" s="40"/>
      <c r="G514" s="40"/>
    </row>
    <row r="515">
      <c r="A515" s="40"/>
      <c r="C515" s="40"/>
      <c r="D515" s="40"/>
      <c r="E515" s="40"/>
      <c r="F515" s="40"/>
      <c r="G515" s="40"/>
    </row>
    <row r="516">
      <c r="A516" s="40"/>
      <c r="C516" s="40"/>
      <c r="D516" s="40"/>
      <c r="E516" s="40"/>
      <c r="F516" s="40"/>
      <c r="G516" s="40"/>
    </row>
    <row r="517">
      <c r="A517" s="40"/>
      <c r="C517" s="40"/>
      <c r="D517" s="40"/>
      <c r="E517" s="40"/>
      <c r="F517" s="40"/>
      <c r="G517" s="40"/>
    </row>
    <row r="518">
      <c r="A518" s="40"/>
      <c r="C518" s="40"/>
      <c r="D518" s="40"/>
      <c r="E518" s="40"/>
      <c r="F518" s="40"/>
      <c r="G518" s="40"/>
    </row>
    <row r="519">
      <c r="A519" s="40"/>
      <c r="C519" s="40"/>
      <c r="D519" s="40"/>
      <c r="E519" s="40"/>
      <c r="F519" s="40"/>
      <c r="G519" s="40"/>
    </row>
    <row r="520">
      <c r="A520" s="40"/>
      <c r="C520" s="40"/>
      <c r="D520" s="40"/>
      <c r="E520" s="40"/>
      <c r="F520" s="40"/>
      <c r="G520" s="40"/>
    </row>
    <row r="521">
      <c r="A521" s="40"/>
      <c r="C521" s="40"/>
      <c r="D521" s="40"/>
      <c r="E521" s="40"/>
      <c r="F521" s="40"/>
      <c r="G521" s="40"/>
    </row>
    <row r="522">
      <c r="A522" s="40"/>
      <c r="C522" s="40"/>
      <c r="D522" s="40"/>
      <c r="E522" s="40"/>
      <c r="F522" s="40"/>
      <c r="G522" s="40"/>
    </row>
    <row r="523">
      <c r="A523" s="40"/>
      <c r="C523" s="40"/>
      <c r="D523" s="40"/>
      <c r="E523" s="40"/>
      <c r="F523" s="40"/>
      <c r="G523" s="40"/>
    </row>
    <row r="524">
      <c r="A524" s="40"/>
      <c r="C524" s="40"/>
      <c r="D524" s="40"/>
      <c r="E524" s="40"/>
      <c r="F524" s="40"/>
      <c r="G524" s="40"/>
    </row>
    <row r="525">
      <c r="A525" s="40"/>
      <c r="C525" s="40"/>
      <c r="D525" s="40"/>
      <c r="E525" s="40"/>
      <c r="F525" s="40"/>
      <c r="G525" s="40"/>
    </row>
    <row r="526">
      <c r="A526" s="40"/>
      <c r="C526" s="40"/>
      <c r="D526" s="40"/>
      <c r="E526" s="40"/>
      <c r="F526" s="40"/>
      <c r="G526" s="40"/>
    </row>
    <row r="527">
      <c r="A527" s="40"/>
      <c r="C527" s="40"/>
      <c r="D527" s="40"/>
      <c r="E527" s="40"/>
      <c r="F527" s="40"/>
      <c r="G527" s="40"/>
    </row>
    <row r="528">
      <c r="A528" s="40"/>
      <c r="C528" s="40"/>
      <c r="D528" s="40"/>
      <c r="E528" s="40"/>
      <c r="F528" s="40"/>
      <c r="G528" s="40"/>
    </row>
    <row r="529">
      <c r="A529" s="40"/>
      <c r="C529" s="40"/>
      <c r="D529" s="40"/>
      <c r="E529" s="40"/>
      <c r="F529" s="40"/>
      <c r="G529" s="40"/>
    </row>
    <row r="530">
      <c r="A530" s="40"/>
      <c r="C530" s="40"/>
      <c r="D530" s="40"/>
      <c r="E530" s="40"/>
      <c r="F530" s="40"/>
      <c r="G530" s="40"/>
    </row>
    <row r="531">
      <c r="A531" s="40"/>
      <c r="C531" s="40"/>
      <c r="D531" s="40"/>
      <c r="E531" s="40"/>
      <c r="F531" s="40"/>
      <c r="G531" s="40"/>
    </row>
    <row r="532">
      <c r="A532" s="40"/>
      <c r="C532" s="40"/>
      <c r="D532" s="40"/>
      <c r="E532" s="40"/>
      <c r="F532" s="40"/>
      <c r="G532" s="40"/>
    </row>
    <row r="533">
      <c r="A533" s="40"/>
      <c r="C533" s="40"/>
      <c r="D533" s="40"/>
      <c r="E533" s="40"/>
      <c r="F533" s="40"/>
      <c r="G533" s="40"/>
    </row>
    <row r="534">
      <c r="A534" s="40"/>
      <c r="C534" s="40"/>
      <c r="D534" s="40"/>
      <c r="E534" s="40"/>
      <c r="F534" s="40"/>
      <c r="G534" s="40"/>
    </row>
    <row r="535">
      <c r="A535" s="40"/>
      <c r="C535" s="40"/>
      <c r="D535" s="40"/>
      <c r="E535" s="40"/>
      <c r="F535" s="40"/>
      <c r="G535" s="40"/>
    </row>
    <row r="536">
      <c r="A536" s="40"/>
      <c r="C536" s="40"/>
      <c r="D536" s="40"/>
      <c r="E536" s="40"/>
      <c r="F536" s="40"/>
      <c r="G536" s="40"/>
    </row>
    <row r="537">
      <c r="A537" s="40"/>
      <c r="C537" s="40"/>
      <c r="D537" s="40"/>
      <c r="E537" s="40"/>
      <c r="F537" s="40"/>
      <c r="G537" s="40"/>
    </row>
    <row r="538">
      <c r="A538" s="40"/>
      <c r="C538" s="40"/>
      <c r="D538" s="40"/>
      <c r="E538" s="40"/>
      <c r="F538" s="40"/>
      <c r="G538" s="40"/>
    </row>
    <row r="539">
      <c r="A539" s="40"/>
      <c r="C539" s="40"/>
      <c r="D539" s="40"/>
      <c r="E539" s="40"/>
      <c r="F539" s="40"/>
      <c r="G539" s="40"/>
    </row>
    <row r="540">
      <c r="A540" s="40"/>
      <c r="C540" s="40"/>
      <c r="D540" s="40"/>
      <c r="E540" s="40"/>
      <c r="F540" s="40"/>
      <c r="G540" s="40"/>
    </row>
    <row r="541">
      <c r="A541" s="40"/>
      <c r="C541" s="40"/>
      <c r="D541" s="40"/>
      <c r="E541" s="40"/>
      <c r="F541" s="40"/>
      <c r="G541" s="40"/>
    </row>
    <row r="542">
      <c r="A542" s="40"/>
      <c r="C542" s="40"/>
      <c r="D542" s="40"/>
      <c r="E542" s="40"/>
      <c r="F542" s="40"/>
      <c r="G542" s="40"/>
    </row>
    <row r="543">
      <c r="A543" s="40"/>
      <c r="C543" s="40"/>
      <c r="D543" s="40"/>
      <c r="E543" s="40"/>
      <c r="F543" s="40"/>
      <c r="G543" s="40"/>
    </row>
    <row r="544">
      <c r="A544" s="40"/>
      <c r="C544" s="40"/>
      <c r="D544" s="40"/>
      <c r="E544" s="40"/>
      <c r="F544" s="40"/>
      <c r="G544" s="40"/>
    </row>
    <row r="545">
      <c r="A545" s="40"/>
      <c r="C545" s="40"/>
      <c r="D545" s="40"/>
      <c r="E545" s="40"/>
      <c r="F545" s="40"/>
      <c r="G545" s="40"/>
    </row>
    <row r="546">
      <c r="A546" s="40"/>
      <c r="C546" s="40"/>
      <c r="D546" s="40"/>
      <c r="E546" s="40"/>
      <c r="F546" s="40"/>
      <c r="G546" s="40"/>
    </row>
    <row r="547">
      <c r="A547" s="40"/>
      <c r="C547" s="40"/>
      <c r="D547" s="40"/>
      <c r="E547" s="40"/>
      <c r="F547" s="40"/>
      <c r="G547" s="40"/>
    </row>
    <row r="548">
      <c r="A548" s="40"/>
      <c r="C548" s="40"/>
      <c r="D548" s="40"/>
      <c r="E548" s="40"/>
      <c r="F548" s="40"/>
      <c r="G548" s="40"/>
    </row>
    <row r="549">
      <c r="A549" s="40"/>
      <c r="C549" s="40"/>
      <c r="D549" s="40"/>
      <c r="E549" s="40"/>
      <c r="F549" s="40"/>
      <c r="G549" s="40"/>
    </row>
    <row r="550">
      <c r="A550" s="40"/>
      <c r="C550" s="40"/>
      <c r="D550" s="40"/>
      <c r="E550" s="40"/>
      <c r="F550" s="40"/>
      <c r="G550" s="40"/>
    </row>
    <row r="551">
      <c r="A551" s="40"/>
      <c r="C551" s="40"/>
      <c r="D551" s="40"/>
      <c r="E551" s="40"/>
      <c r="F551" s="40"/>
      <c r="G551" s="40"/>
    </row>
    <row r="552">
      <c r="A552" s="40"/>
      <c r="C552" s="40"/>
      <c r="D552" s="40"/>
      <c r="E552" s="40"/>
      <c r="F552" s="40"/>
      <c r="G552" s="40"/>
    </row>
    <row r="553">
      <c r="A553" s="40"/>
      <c r="C553" s="40"/>
      <c r="D553" s="40"/>
      <c r="E553" s="40"/>
      <c r="F553" s="40"/>
      <c r="G553" s="40"/>
    </row>
    <row r="554">
      <c r="A554" s="40"/>
      <c r="C554" s="40"/>
      <c r="D554" s="40"/>
      <c r="E554" s="40"/>
      <c r="F554" s="40"/>
      <c r="G554" s="40"/>
    </row>
    <row r="555">
      <c r="A555" s="40"/>
      <c r="C555" s="40"/>
      <c r="D555" s="40"/>
      <c r="E555" s="40"/>
      <c r="F555" s="40"/>
      <c r="G555" s="40"/>
    </row>
    <row r="556">
      <c r="A556" s="40"/>
      <c r="C556" s="40"/>
      <c r="D556" s="40"/>
      <c r="E556" s="40"/>
      <c r="F556" s="40"/>
      <c r="G556" s="40"/>
    </row>
    <row r="557">
      <c r="A557" s="40"/>
      <c r="C557" s="40"/>
      <c r="D557" s="40"/>
      <c r="E557" s="40"/>
      <c r="F557" s="40"/>
      <c r="G557" s="40"/>
    </row>
    <row r="558">
      <c r="A558" s="40"/>
      <c r="C558" s="40"/>
      <c r="D558" s="40"/>
      <c r="E558" s="40"/>
      <c r="F558" s="40"/>
      <c r="G558" s="40"/>
    </row>
    <row r="559">
      <c r="A559" s="40"/>
      <c r="C559" s="40"/>
      <c r="D559" s="40"/>
      <c r="E559" s="40"/>
      <c r="F559" s="40"/>
      <c r="G559" s="40"/>
    </row>
    <row r="560">
      <c r="A560" s="40"/>
      <c r="C560" s="40"/>
      <c r="D560" s="40"/>
      <c r="E560" s="40"/>
      <c r="F560" s="40"/>
      <c r="G560" s="40"/>
    </row>
    <row r="561">
      <c r="A561" s="40"/>
      <c r="C561" s="40"/>
      <c r="D561" s="40"/>
      <c r="E561" s="40"/>
      <c r="F561" s="40"/>
      <c r="G561" s="40"/>
    </row>
    <row r="562">
      <c r="A562" s="40"/>
      <c r="C562" s="40"/>
      <c r="D562" s="40"/>
      <c r="E562" s="40"/>
      <c r="F562" s="40"/>
      <c r="G562" s="40"/>
    </row>
    <row r="563">
      <c r="A563" s="40"/>
      <c r="C563" s="40"/>
      <c r="D563" s="40"/>
      <c r="E563" s="40"/>
      <c r="F563" s="40"/>
      <c r="G563" s="40"/>
    </row>
    <row r="564">
      <c r="A564" s="40"/>
      <c r="C564" s="40"/>
      <c r="D564" s="40"/>
      <c r="E564" s="40"/>
      <c r="F564" s="40"/>
      <c r="G564" s="40"/>
    </row>
    <row r="565">
      <c r="A565" s="40"/>
      <c r="C565" s="40"/>
      <c r="D565" s="40"/>
      <c r="E565" s="40"/>
      <c r="F565" s="40"/>
      <c r="G565" s="40"/>
    </row>
    <row r="566">
      <c r="A566" s="40"/>
      <c r="C566" s="40"/>
      <c r="D566" s="40"/>
      <c r="E566" s="40"/>
      <c r="F566" s="40"/>
      <c r="G566" s="40"/>
    </row>
    <row r="567">
      <c r="A567" s="40"/>
      <c r="C567" s="40"/>
      <c r="D567" s="40"/>
      <c r="E567" s="40"/>
      <c r="F567" s="40"/>
      <c r="G567" s="40"/>
    </row>
    <row r="568">
      <c r="A568" s="40"/>
      <c r="C568" s="40"/>
      <c r="D568" s="40"/>
      <c r="E568" s="40"/>
      <c r="F568" s="40"/>
      <c r="G568" s="40"/>
    </row>
    <row r="569">
      <c r="A569" s="40"/>
      <c r="C569" s="40"/>
      <c r="D569" s="40"/>
      <c r="E569" s="40"/>
      <c r="F569" s="40"/>
      <c r="G569" s="40"/>
    </row>
    <row r="570">
      <c r="A570" s="40"/>
      <c r="C570" s="40"/>
      <c r="D570" s="40"/>
      <c r="E570" s="40"/>
      <c r="F570" s="40"/>
      <c r="G570" s="40"/>
    </row>
    <row r="571">
      <c r="A571" s="40"/>
      <c r="C571" s="40"/>
      <c r="D571" s="40"/>
      <c r="E571" s="40"/>
      <c r="F571" s="40"/>
      <c r="G571" s="40"/>
    </row>
    <row r="572">
      <c r="A572" s="40"/>
      <c r="C572" s="40"/>
      <c r="D572" s="40"/>
      <c r="E572" s="40"/>
      <c r="F572" s="40"/>
      <c r="G572" s="40"/>
    </row>
    <row r="573">
      <c r="A573" s="40"/>
      <c r="C573" s="40"/>
      <c r="D573" s="40"/>
      <c r="E573" s="40"/>
      <c r="F573" s="40"/>
      <c r="G573" s="40"/>
    </row>
    <row r="574">
      <c r="A574" s="40"/>
      <c r="C574" s="40"/>
      <c r="D574" s="40"/>
      <c r="E574" s="40"/>
      <c r="F574" s="40"/>
      <c r="G574" s="40"/>
    </row>
    <row r="575">
      <c r="A575" s="40"/>
      <c r="C575" s="40"/>
      <c r="D575" s="40"/>
      <c r="E575" s="40"/>
      <c r="F575" s="40"/>
      <c r="G575" s="40"/>
    </row>
    <row r="576">
      <c r="A576" s="40"/>
      <c r="C576" s="40"/>
      <c r="D576" s="40"/>
      <c r="E576" s="40"/>
      <c r="F576" s="40"/>
      <c r="G576" s="40"/>
    </row>
    <row r="577">
      <c r="A577" s="40"/>
      <c r="C577" s="40"/>
      <c r="D577" s="40"/>
      <c r="E577" s="40"/>
      <c r="F577" s="40"/>
      <c r="G577" s="40"/>
    </row>
    <row r="578">
      <c r="A578" s="40"/>
      <c r="C578" s="40"/>
      <c r="D578" s="40"/>
      <c r="E578" s="40"/>
      <c r="F578" s="40"/>
      <c r="G578" s="40"/>
    </row>
    <row r="579">
      <c r="A579" s="40"/>
      <c r="C579" s="40"/>
      <c r="D579" s="40"/>
      <c r="E579" s="40"/>
      <c r="F579" s="40"/>
      <c r="G579" s="40"/>
    </row>
    <row r="580">
      <c r="A580" s="40"/>
      <c r="C580" s="40"/>
      <c r="D580" s="40"/>
      <c r="E580" s="40"/>
      <c r="F580" s="40"/>
      <c r="G580" s="40"/>
    </row>
    <row r="581">
      <c r="A581" s="40"/>
      <c r="C581" s="40"/>
      <c r="D581" s="40"/>
      <c r="E581" s="40"/>
      <c r="F581" s="40"/>
      <c r="G581" s="40"/>
    </row>
    <row r="582">
      <c r="A582" s="40"/>
      <c r="C582" s="40"/>
      <c r="D582" s="40"/>
      <c r="E582" s="40"/>
      <c r="F582" s="40"/>
      <c r="G582" s="40"/>
    </row>
    <row r="583">
      <c r="A583" s="40"/>
      <c r="C583" s="40"/>
      <c r="D583" s="40"/>
      <c r="E583" s="40"/>
      <c r="F583" s="40"/>
      <c r="G583" s="40"/>
    </row>
    <row r="584">
      <c r="A584" s="40"/>
      <c r="C584" s="40"/>
      <c r="D584" s="40"/>
      <c r="E584" s="40"/>
      <c r="F584" s="40"/>
      <c r="G584" s="40"/>
    </row>
    <row r="585">
      <c r="A585" s="40"/>
      <c r="C585" s="40"/>
      <c r="D585" s="40"/>
      <c r="E585" s="40"/>
      <c r="F585" s="40"/>
      <c r="G585" s="40"/>
    </row>
    <row r="586">
      <c r="A586" s="40"/>
      <c r="C586" s="40"/>
      <c r="D586" s="40"/>
      <c r="E586" s="40"/>
      <c r="F586" s="40"/>
      <c r="G586" s="40"/>
    </row>
    <row r="587">
      <c r="A587" s="40"/>
      <c r="C587" s="40"/>
      <c r="D587" s="40"/>
      <c r="E587" s="40"/>
      <c r="F587" s="40"/>
      <c r="G587" s="40"/>
    </row>
    <row r="588">
      <c r="A588" s="40"/>
      <c r="C588" s="40"/>
      <c r="D588" s="40"/>
      <c r="E588" s="40"/>
      <c r="F588" s="40"/>
      <c r="G588" s="40"/>
    </row>
    <row r="589">
      <c r="A589" s="40"/>
      <c r="C589" s="40"/>
      <c r="D589" s="40"/>
      <c r="E589" s="40"/>
      <c r="F589" s="40"/>
      <c r="G589" s="40"/>
    </row>
    <row r="590">
      <c r="A590" s="40"/>
      <c r="C590" s="40"/>
      <c r="D590" s="40"/>
      <c r="E590" s="40"/>
      <c r="F590" s="40"/>
      <c r="G590" s="40"/>
    </row>
    <row r="591">
      <c r="A591" s="40"/>
      <c r="C591" s="40"/>
      <c r="D591" s="40"/>
      <c r="E591" s="40"/>
      <c r="F591" s="40"/>
      <c r="G591" s="40"/>
    </row>
    <row r="592">
      <c r="A592" s="40"/>
      <c r="C592" s="40"/>
      <c r="D592" s="40"/>
      <c r="E592" s="40"/>
      <c r="F592" s="40"/>
      <c r="G592" s="40"/>
    </row>
    <row r="593">
      <c r="A593" s="40"/>
      <c r="C593" s="40"/>
      <c r="D593" s="40"/>
      <c r="E593" s="40"/>
      <c r="F593" s="40"/>
      <c r="G593" s="40"/>
    </row>
    <row r="594">
      <c r="A594" s="40"/>
      <c r="C594" s="40"/>
      <c r="D594" s="40"/>
      <c r="E594" s="40"/>
      <c r="F594" s="40"/>
      <c r="G594" s="40"/>
    </row>
    <row r="595">
      <c r="A595" s="40"/>
      <c r="C595" s="40"/>
      <c r="D595" s="40"/>
      <c r="E595" s="40"/>
      <c r="F595" s="40"/>
      <c r="G595" s="40"/>
    </row>
    <row r="596">
      <c r="A596" s="40"/>
      <c r="C596" s="40"/>
      <c r="D596" s="40"/>
      <c r="E596" s="40"/>
      <c r="F596" s="40"/>
      <c r="G596" s="40"/>
    </row>
    <row r="597">
      <c r="A597" s="40"/>
      <c r="C597" s="40"/>
      <c r="D597" s="40"/>
      <c r="E597" s="40"/>
      <c r="F597" s="40"/>
      <c r="G597" s="40"/>
    </row>
    <row r="598">
      <c r="A598" s="40"/>
      <c r="C598" s="40"/>
      <c r="D598" s="40"/>
      <c r="E598" s="40"/>
      <c r="F598" s="40"/>
      <c r="G598" s="40"/>
    </row>
    <row r="599">
      <c r="A599" s="40"/>
      <c r="C599" s="40"/>
      <c r="D599" s="40"/>
      <c r="E599" s="40"/>
      <c r="F599" s="40"/>
      <c r="G599" s="40"/>
    </row>
    <row r="600">
      <c r="A600" s="40"/>
      <c r="C600" s="40"/>
      <c r="D600" s="40"/>
      <c r="E600" s="40"/>
      <c r="F600" s="40"/>
      <c r="G600" s="40"/>
    </row>
    <row r="601">
      <c r="A601" s="40"/>
      <c r="C601" s="40"/>
      <c r="D601" s="40"/>
      <c r="E601" s="40"/>
      <c r="F601" s="40"/>
      <c r="G601" s="40"/>
    </row>
    <row r="602">
      <c r="A602" s="40"/>
      <c r="C602" s="40"/>
      <c r="D602" s="40"/>
      <c r="E602" s="40"/>
      <c r="F602" s="40"/>
      <c r="G602" s="40"/>
    </row>
    <row r="603">
      <c r="A603" s="40"/>
      <c r="C603" s="40"/>
      <c r="D603" s="40"/>
      <c r="E603" s="40"/>
      <c r="F603" s="40"/>
      <c r="G603" s="40"/>
    </row>
    <row r="604">
      <c r="A604" s="40"/>
      <c r="C604" s="40"/>
      <c r="D604" s="40"/>
      <c r="E604" s="40"/>
      <c r="F604" s="40"/>
      <c r="G604" s="40"/>
    </row>
    <row r="605">
      <c r="A605" s="40"/>
      <c r="C605" s="40"/>
      <c r="D605" s="40"/>
      <c r="E605" s="40"/>
      <c r="F605" s="40"/>
      <c r="G605" s="40"/>
    </row>
    <row r="606">
      <c r="A606" s="40"/>
      <c r="C606" s="40"/>
      <c r="D606" s="40"/>
      <c r="E606" s="40"/>
      <c r="F606" s="40"/>
      <c r="G606" s="40"/>
    </row>
    <row r="607">
      <c r="A607" s="40"/>
      <c r="C607" s="40"/>
      <c r="D607" s="40"/>
      <c r="E607" s="40"/>
      <c r="F607" s="40"/>
      <c r="G607" s="40"/>
    </row>
    <row r="608">
      <c r="A608" s="40"/>
      <c r="C608" s="40"/>
      <c r="D608" s="40"/>
      <c r="E608" s="40"/>
      <c r="F608" s="40"/>
      <c r="G608" s="40"/>
    </row>
    <row r="609">
      <c r="A609" s="40"/>
      <c r="C609" s="40"/>
      <c r="D609" s="40"/>
      <c r="E609" s="40"/>
      <c r="F609" s="40"/>
      <c r="G609" s="40"/>
    </row>
    <row r="610">
      <c r="A610" s="40"/>
      <c r="C610" s="40"/>
      <c r="D610" s="40"/>
      <c r="E610" s="40"/>
      <c r="F610" s="40"/>
      <c r="G610" s="40"/>
    </row>
    <row r="611">
      <c r="A611" s="40"/>
      <c r="C611" s="40"/>
      <c r="D611" s="40"/>
      <c r="E611" s="40"/>
      <c r="F611" s="40"/>
      <c r="G611" s="40"/>
    </row>
    <row r="612">
      <c r="A612" s="40"/>
      <c r="C612" s="40"/>
      <c r="D612" s="40"/>
      <c r="E612" s="40"/>
      <c r="F612" s="40"/>
      <c r="G612" s="40"/>
    </row>
    <row r="613">
      <c r="A613" s="40"/>
      <c r="C613" s="40"/>
      <c r="D613" s="40"/>
      <c r="E613" s="40"/>
      <c r="F613" s="40"/>
      <c r="G613" s="40"/>
    </row>
    <row r="614">
      <c r="A614" s="40"/>
      <c r="C614" s="40"/>
      <c r="D614" s="40"/>
      <c r="E614" s="40"/>
      <c r="F614" s="40"/>
      <c r="G614" s="40"/>
    </row>
    <row r="615">
      <c r="A615" s="40"/>
      <c r="C615" s="40"/>
      <c r="D615" s="40"/>
      <c r="E615" s="40"/>
      <c r="F615" s="40"/>
      <c r="G615" s="40"/>
    </row>
    <row r="616">
      <c r="A616" s="40"/>
      <c r="C616" s="40"/>
      <c r="D616" s="40"/>
      <c r="E616" s="40"/>
      <c r="F616" s="40"/>
      <c r="G616" s="40"/>
    </row>
    <row r="617">
      <c r="A617" s="40"/>
      <c r="C617" s="40"/>
      <c r="D617" s="40"/>
      <c r="E617" s="40"/>
      <c r="F617" s="40"/>
      <c r="G617" s="40"/>
    </row>
    <row r="618">
      <c r="A618" s="40"/>
      <c r="C618" s="40"/>
      <c r="D618" s="40"/>
      <c r="E618" s="40"/>
      <c r="F618" s="40"/>
      <c r="G618" s="40"/>
    </row>
    <row r="619">
      <c r="A619" s="40"/>
      <c r="C619" s="40"/>
      <c r="D619" s="40"/>
      <c r="E619" s="40"/>
      <c r="F619" s="40"/>
      <c r="G619" s="40"/>
    </row>
    <row r="620">
      <c r="A620" s="40"/>
      <c r="C620" s="40"/>
      <c r="D620" s="40"/>
      <c r="E620" s="40"/>
      <c r="F620" s="40"/>
      <c r="G620" s="40"/>
    </row>
    <row r="621">
      <c r="A621" s="40"/>
      <c r="C621" s="40"/>
      <c r="D621" s="40"/>
      <c r="E621" s="40"/>
      <c r="F621" s="40"/>
      <c r="G621" s="40"/>
    </row>
    <row r="622">
      <c r="A622" s="40"/>
      <c r="C622" s="40"/>
      <c r="D622" s="40"/>
      <c r="E622" s="40"/>
      <c r="F622" s="40"/>
      <c r="G622" s="40"/>
    </row>
    <row r="623">
      <c r="A623" s="40"/>
      <c r="C623" s="40"/>
      <c r="D623" s="40"/>
      <c r="E623" s="40"/>
      <c r="F623" s="40"/>
      <c r="G623" s="40"/>
    </row>
    <row r="624">
      <c r="A624" s="40"/>
      <c r="C624" s="40"/>
      <c r="D624" s="40"/>
      <c r="E624" s="40"/>
      <c r="F624" s="40"/>
      <c r="G624" s="40"/>
    </row>
    <row r="625">
      <c r="A625" s="40"/>
      <c r="C625" s="40"/>
      <c r="D625" s="40"/>
      <c r="E625" s="40"/>
      <c r="F625" s="40"/>
      <c r="G625" s="40"/>
    </row>
    <row r="626">
      <c r="A626" s="40"/>
      <c r="C626" s="40"/>
      <c r="D626" s="40"/>
      <c r="E626" s="40"/>
      <c r="F626" s="40"/>
      <c r="G626" s="40"/>
    </row>
    <row r="627">
      <c r="A627" s="40"/>
      <c r="C627" s="40"/>
      <c r="D627" s="40"/>
      <c r="E627" s="40"/>
      <c r="F627" s="40"/>
      <c r="G627" s="40"/>
    </row>
    <row r="628">
      <c r="A628" s="40"/>
      <c r="C628" s="40"/>
      <c r="D628" s="40"/>
      <c r="E628" s="40"/>
      <c r="F628" s="40"/>
      <c r="G628" s="40"/>
    </row>
    <row r="629">
      <c r="A629" s="40"/>
      <c r="C629" s="40"/>
      <c r="D629" s="40"/>
      <c r="E629" s="40"/>
      <c r="F629" s="40"/>
      <c r="G629" s="40"/>
    </row>
    <row r="630">
      <c r="A630" s="40"/>
      <c r="C630" s="40"/>
      <c r="D630" s="40"/>
      <c r="E630" s="40"/>
      <c r="F630" s="40"/>
      <c r="G630" s="40"/>
    </row>
    <row r="631">
      <c r="A631" s="40"/>
      <c r="C631" s="40"/>
      <c r="D631" s="40"/>
      <c r="E631" s="40"/>
      <c r="F631" s="40"/>
      <c r="G631" s="40"/>
    </row>
    <row r="632">
      <c r="A632" s="40"/>
      <c r="C632" s="40"/>
      <c r="D632" s="40"/>
      <c r="E632" s="40"/>
      <c r="F632" s="40"/>
      <c r="G632" s="40"/>
    </row>
    <row r="633">
      <c r="A633" s="40"/>
      <c r="C633" s="40"/>
      <c r="D633" s="40"/>
      <c r="E633" s="40"/>
      <c r="F633" s="40"/>
      <c r="G633" s="40"/>
    </row>
    <row r="634">
      <c r="A634" s="40"/>
      <c r="C634" s="40"/>
      <c r="D634" s="40"/>
      <c r="E634" s="40"/>
      <c r="F634" s="40"/>
      <c r="G634" s="40"/>
    </row>
    <row r="635">
      <c r="A635" s="40"/>
      <c r="C635" s="40"/>
      <c r="D635" s="40"/>
      <c r="E635" s="40"/>
      <c r="F635" s="40"/>
      <c r="G635" s="40"/>
    </row>
    <row r="636">
      <c r="A636" s="40"/>
      <c r="C636" s="40"/>
      <c r="D636" s="40"/>
      <c r="E636" s="40"/>
      <c r="F636" s="40"/>
      <c r="G636" s="40"/>
    </row>
    <row r="637">
      <c r="A637" s="40"/>
      <c r="C637" s="40"/>
      <c r="D637" s="40"/>
      <c r="E637" s="40"/>
      <c r="F637" s="40"/>
      <c r="G637" s="40"/>
    </row>
    <row r="638">
      <c r="A638" s="40"/>
      <c r="C638" s="40"/>
      <c r="D638" s="40"/>
      <c r="E638" s="40"/>
      <c r="F638" s="40"/>
      <c r="G638" s="40"/>
    </row>
    <row r="639">
      <c r="A639" s="40"/>
      <c r="C639" s="40"/>
      <c r="D639" s="40"/>
      <c r="E639" s="40"/>
      <c r="F639" s="40"/>
      <c r="G639" s="40"/>
    </row>
    <row r="640">
      <c r="A640" s="40"/>
      <c r="C640" s="40"/>
      <c r="D640" s="40"/>
      <c r="E640" s="40"/>
      <c r="F640" s="40"/>
      <c r="G640" s="40"/>
    </row>
    <row r="641">
      <c r="A641" s="40"/>
      <c r="C641" s="40"/>
      <c r="D641" s="40"/>
      <c r="E641" s="40"/>
      <c r="F641" s="40"/>
      <c r="G641" s="40"/>
    </row>
    <row r="642">
      <c r="A642" s="40"/>
      <c r="C642" s="40"/>
      <c r="D642" s="40"/>
      <c r="E642" s="40"/>
      <c r="F642" s="40"/>
      <c r="G642" s="40"/>
    </row>
    <row r="643">
      <c r="A643" s="40"/>
      <c r="C643" s="40"/>
      <c r="D643" s="40"/>
      <c r="E643" s="40"/>
      <c r="F643" s="40"/>
      <c r="G643" s="40"/>
    </row>
    <row r="644">
      <c r="A644" s="40"/>
      <c r="C644" s="40"/>
      <c r="D644" s="40"/>
      <c r="E644" s="40"/>
      <c r="F644" s="40"/>
      <c r="G644" s="40"/>
    </row>
    <row r="645">
      <c r="A645" s="40"/>
      <c r="C645" s="40"/>
      <c r="D645" s="40"/>
      <c r="E645" s="40"/>
      <c r="F645" s="40"/>
      <c r="G645" s="40"/>
    </row>
    <row r="646">
      <c r="A646" s="40"/>
      <c r="C646" s="40"/>
      <c r="D646" s="40"/>
      <c r="E646" s="40"/>
      <c r="F646" s="40"/>
      <c r="G646" s="40"/>
    </row>
    <row r="647">
      <c r="A647" s="40"/>
      <c r="C647" s="40"/>
      <c r="D647" s="40"/>
      <c r="E647" s="40"/>
      <c r="F647" s="40"/>
      <c r="G647" s="40"/>
    </row>
    <row r="648">
      <c r="A648" s="40"/>
      <c r="C648" s="40"/>
      <c r="D648" s="40"/>
      <c r="E648" s="40"/>
      <c r="F648" s="40"/>
      <c r="G648" s="40"/>
    </row>
    <row r="649">
      <c r="A649" s="40"/>
      <c r="C649" s="40"/>
      <c r="D649" s="40"/>
      <c r="E649" s="40"/>
      <c r="F649" s="40"/>
      <c r="G649" s="40"/>
    </row>
    <row r="650">
      <c r="A650" s="40"/>
      <c r="C650" s="40"/>
      <c r="D650" s="40"/>
      <c r="E650" s="40"/>
      <c r="F650" s="40"/>
      <c r="G650" s="40"/>
    </row>
    <row r="651">
      <c r="A651" s="40"/>
      <c r="C651" s="40"/>
      <c r="D651" s="40"/>
      <c r="E651" s="40"/>
      <c r="F651" s="40"/>
      <c r="G651" s="40"/>
    </row>
    <row r="652">
      <c r="A652" s="40"/>
      <c r="C652" s="40"/>
      <c r="D652" s="40"/>
      <c r="E652" s="40"/>
      <c r="F652" s="40"/>
      <c r="G652" s="40"/>
    </row>
    <row r="653">
      <c r="A653" s="40"/>
      <c r="C653" s="40"/>
      <c r="D653" s="40"/>
      <c r="E653" s="40"/>
      <c r="F653" s="40"/>
      <c r="G653" s="40"/>
    </row>
    <row r="654">
      <c r="A654" s="40"/>
      <c r="C654" s="40"/>
      <c r="D654" s="40"/>
      <c r="E654" s="40"/>
      <c r="F654" s="40"/>
      <c r="G654" s="40"/>
    </row>
    <row r="655">
      <c r="A655" s="40"/>
      <c r="C655" s="40"/>
      <c r="D655" s="40"/>
      <c r="E655" s="40"/>
      <c r="F655" s="40"/>
      <c r="G655" s="40"/>
    </row>
    <row r="656">
      <c r="A656" s="40"/>
      <c r="C656" s="40"/>
      <c r="D656" s="40"/>
      <c r="E656" s="40"/>
      <c r="F656" s="40"/>
      <c r="G656" s="40"/>
    </row>
    <row r="657">
      <c r="A657" s="40"/>
      <c r="C657" s="40"/>
      <c r="D657" s="40"/>
      <c r="E657" s="40"/>
      <c r="F657" s="40"/>
      <c r="G657" s="40"/>
    </row>
    <row r="658">
      <c r="A658" s="40"/>
      <c r="C658" s="40"/>
      <c r="D658" s="40"/>
      <c r="E658" s="40"/>
      <c r="F658" s="40"/>
      <c r="G658" s="40"/>
    </row>
    <row r="659">
      <c r="A659" s="40"/>
      <c r="C659" s="40"/>
      <c r="D659" s="40"/>
      <c r="E659" s="40"/>
      <c r="F659" s="40"/>
      <c r="G659" s="40"/>
    </row>
    <row r="660">
      <c r="A660" s="40"/>
      <c r="C660" s="40"/>
      <c r="D660" s="40"/>
      <c r="E660" s="40"/>
      <c r="F660" s="40"/>
      <c r="G660" s="40"/>
    </row>
    <row r="661">
      <c r="A661" s="40"/>
      <c r="C661" s="40"/>
      <c r="D661" s="40"/>
      <c r="E661" s="40"/>
      <c r="F661" s="40"/>
      <c r="G661" s="40"/>
    </row>
    <row r="662">
      <c r="A662" s="40"/>
      <c r="C662" s="40"/>
      <c r="D662" s="40"/>
      <c r="E662" s="40"/>
      <c r="F662" s="40"/>
      <c r="G662" s="40"/>
    </row>
    <row r="663">
      <c r="A663" s="40"/>
      <c r="C663" s="40"/>
      <c r="D663" s="40"/>
      <c r="E663" s="40"/>
      <c r="F663" s="40"/>
      <c r="G663" s="40"/>
    </row>
    <row r="664">
      <c r="A664" s="40"/>
      <c r="C664" s="40"/>
      <c r="D664" s="40"/>
      <c r="E664" s="40"/>
      <c r="F664" s="40"/>
      <c r="G664" s="40"/>
    </row>
    <row r="665">
      <c r="A665" s="40"/>
      <c r="C665" s="40"/>
      <c r="D665" s="40"/>
      <c r="E665" s="40"/>
      <c r="F665" s="40"/>
      <c r="G665" s="40"/>
    </row>
    <row r="666">
      <c r="A666" s="40"/>
      <c r="C666" s="40"/>
      <c r="D666" s="40"/>
      <c r="E666" s="40"/>
      <c r="F666" s="40"/>
      <c r="G666" s="40"/>
    </row>
    <row r="667">
      <c r="A667" s="40"/>
      <c r="C667" s="40"/>
      <c r="D667" s="40"/>
      <c r="E667" s="40"/>
      <c r="F667" s="40"/>
      <c r="G667" s="40"/>
    </row>
    <row r="668">
      <c r="A668" s="40"/>
      <c r="C668" s="40"/>
      <c r="D668" s="40"/>
      <c r="E668" s="40"/>
      <c r="F668" s="40"/>
      <c r="G668" s="40"/>
    </row>
    <row r="669">
      <c r="A669" s="40"/>
      <c r="C669" s="40"/>
      <c r="D669" s="40"/>
      <c r="E669" s="40"/>
      <c r="F669" s="40"/>
      <c r="G669" s="40"/>
    </row>
    <row r="670">
      <c r="A670" s="40"/>
      <c r="C670" s="40"/>
      <c r="D670" s="40"/>
      <c r="E670" s="40"/>
      <c r="F670" s="40"/>
      <c r="G670" s="40"/>
    </row>
    <row r="671">
      <c r="A671" s="40"/>
      <c r="C671" s="40"/>
      <c r="D671" s="40"/>
      <c r="E671" s="40"/>
      <c r="F671" s="40"/>
      <c r="G671" s="40"/>
    </row>
    <row r="672">
      <c r="A672" s="40"/>
      <c r="C672" s="40"/>
      <c r="D672" s="40"/>
      <c r="E672" s="40"/>
      <c r="F672" s="40"/>
      <c r="G672" s="40"/>
    </row>
    <row r="673">
      <c r="A673" s="40"/>
      <c r="C673" s="40"/>
      <c r="D673" s="40"/>
      <c r="E673" s="40"/>
      <c r="F673" s="40"/>
      <c r="G673" s="40"/>
    </row>
    <row r="674">
      <c r="A674" s="40"/>
      <c r="C674" s="40"/>
      <c r="D674" s="40"/>
      <c r="E674" s="40"/>
      <c r="F674" s="40"/>
      <c r="G674" s="40"/>
    </row>
    <row r="675">
      <c r="A675" s="40"/>
      <c r="C675" s="40"/>
      <c r="D675" s="40"/>
      <c r="E675" s="40"/>
      <c r="F675" s="40"/>
      <c r="G675" s="40"/>
    </row>
    <row r="676">
      <c r="A676" s="40"/>
      <c r="C676" s="40"/>
      <c r="D676" s="40"/>
      <c r="E676" s="40"/>
      <c r="F676" s="40"/>
      <c r="G676" s="40"/>
    </row>
    <row r="677">
      <c r="A677" s="40"/>
      <c r="C677" s="40"/>
      <c r="D677" s="40"/>
      <c r="E677" s="40"/>
      <c r="F677" s="40"/>
      <c r="G677" s="40"/>
    </row>
    <row r="678">
      <c r="A678" s="40"/>
      <c r="C678" s="40"/>
      <c r="D678" s="40"/>
      <c r="E678" s="40"/>
      <c r="F678" s="40"/>
      <c r="G678" s="40"/>
    </row>
    <row r="679">
      <c r="A679" s="40"/>
      <c r="C679" s="40"/>
      <c r="D679" s="40"/>
      <c r="E679" s="40"/>
      <c r="F679" s="40"/>
      <c r="G679" s="40"/>
    </row>
    <row r="680">
      <c r="A680" s="40"/>
      <c r="C680" s="40"/>
      <c r="D680" s="40"/>
      <c r="E680" s="40"/>
      <c r="F680" s="40"/>
      <c r="G680" s="40"/>
    </row>
    <row r="681">
      <c r="A681" s="40"/>
      <c r="C681" s="40"/>
      <c r="D681" s="40"/>
      <c r="E681" s="40"/>
      <c r="F681" s="40"/>
      <c r="G681" s="40"/>
    </row>
    <row r="682">
      <c r="A682" s="40"/>
      <c r="C682" s="40"/>
      <c r="D682" s="40"/>
      <c r="E682" s="40"/>
      <c r="F682" s="40"/>
      <c r="G682" s="40"/>
    </row>
    <row r="683">
      <c r="A683" s="40"/>
      <c r="C683" s="40"/>
      <c r="D683" s="40"/>
      <c r="E683" s="40"/>
      <c r="F683" s="40"/>
      <c r="G683" s="40"/>
    </row>
    <row r="684">
      <c r="A684" s="40"/>
      <c r="C684" s="40"/>
      <c r="D684" s="40"/>
      <c r="E684" s="40"/>
      <c r="F684" s="40"/>
      <c r="G684" s="40"/>
    </row>
    <row r="685">
      <c r="A685" s="40"/>
      <c r="C685" s="40"/>
      <c r="D685" s="40"/>
      <c r="E685" s="40"/>
      <c r="F685" s="40"/>
      <c r="G685" s="40"/>
    </row>
    <row r="686">
      <c r="A686" s="40"/>
      <c r="C686" s="40"/>
      <c r="D686" s="40"/>
      <c r="E686" s="40"/>
      <c r="F686" s="40"/>
      <c r="G686" s="40"/>
    </row>
    <row r="687">
      <c r="A687" s="40"/>
      <c r="C687" s="40"/>
      <c r="D687" s="40"/>
      <c r="E687" s="40"/>
      <c r="F687" s="40"/>
      <c r="G687" s="40"/>
    </row>
    <row r="688">
      <c r="A688" s="40"/>
      <c r="C688" s="40"/>
      <c r="D688" s="40"/>
      <c r="E688" s="40"/>
      <c r="F688" s="40"/>
      <c r="G688" s="40"/>
    </row>
    <row r="689">
      <c r="A689" s="40"/>
      <c r="C689" s="40"/>
      <c r="D689" s="40"/>
      <c r="E689" s="40"/>
      <c r="F689" s="40"/>
      <c r="G689" s="40"/>
    </row>
    <row r="690">
      <c r="A690" s="40"/>
      <c r="C690" s="40"/>
      <c r="D690" s="40"/>
      <c r="E690" s="40"/>
      <c r="F690" s="40"/>
      <c r="G690" s="40"/>
    </row>
    <row r="691">
      <c r="A691" s="40"/>
      <c r="C691" s="40"/>
      <c r="D691" s="40"/>
      <c r="E691" s="40"/>
      <c r="F691" s="40"/>
      <c r="G691" s="40"/>
    </row>
    <row r="692">
      <c r="A692" s="40"/>
      <c r="C692" s="40"/>
      <c r="D692" s="40"/>
      <c r="E692" s="40"/>
      <c r="F692" s="40"/>
      <c r="G692" s="40"/>
    </row>
    <row r="693">
      <c r="A693" s="40"/>
      <c r="C693" s="40"/>
      <c r="D693" s="40"/>
      <c r="E693" s="40"/>
      <c r="F693" s="40"/>
      <c r="G693" s="40"/>
    </row>
    <row r="694">
      <c r="A694" s="40"/>
      <c r="C694" s="40"/>
      <c r="D694" s="40"/>
      <c r="E694" s="40"/>
      <c r="F694" s="40"/>
      <c r="G694" s="40"/>
    </row>
    <row r="695">
      <c r="A695" s="40"/>
      <c r="C695" s="40"/>
      <c r="D695" s="40"/>
      <c r="E695" s="40"/>
      <c r="F695" s="40"/>
      <c r="G695" s="40"/>
    </row>
    <row r="696">
      <c r="A696" s="40"/>
      <c r="C696" s="40"/>
      <c r="D696" s="40"/>
      <c r="E696" s="40"/>
      <c r="F696" s="40"/>
      <c r="G696" s="40"/>
    </row>
    <row r="697">
      <c r="A697" s="40"/>
      <c r="C697" s="40"/>
      <c r="D697" s="40"/>
      <c r="E697" s="40"/>
      <c r="F697" s="40"/>
      <c r="G697" s="40"/>
    </row>
    <row r="698">
      <c r="A698" s="40"/>
      <c r="C698" s="40"/>
      <c r="D698" s="40"/>
      <c r="E698" s="40"/>
      <c r="F698" s="40"/>
      <c r="G698" s="40"/>
    </row>
    <row r="699">
      <c r="A699" s="40"/>
      <c r="C699" s="40"/>
      <c r="D699" s="40"/>
      <c r="E699" s="40"/>
      <c r="F699" s="40"/>
      <c r="G699" s="40"/>
    </row>
    <row r="700">
      <c r="A700" s="40"/>
      <c r="C700" s="40"/>
      <c r="D700" s="40"/>
      <c r="E700" s="40"/>
      <c r="F700" s="40"/>
      <c r="G700" s="40"/>
    </row>
    <row r="701">
      <c r="A701" s="40"/>
      <c r="C701" s="40"/>
      <c r="D701" s="40"/>
      <c r="E701" s="40"/>
      <c r="F701" s="40"/>
      <c r="G701" s="40"/>
    </row>
    <row r="702">
      <c r="A702" s="40"/>
      <c r="C702" s="40"/>
      <c r="D702" s="40"/>
      <c r="E702" s="40"/>
      <c r="F702" s="40"/>
      <c r="G702" s="40"/>
    </row>
    <row r="703">
      <c r="A703" s="40"/>
      <c r="C703" s="40"/>
      <c r="D703" s="40"/>
      <c r="E703" s="40"/>
      <c r="F703" s="40"/>
      <c r="G703" s="40"/>
    </row>
    <row r="704">
      <c r="A704" s="40"/>
      <c r="C704" s="40"/>
      <c r="D704" s="40"/>
      <c r="E704" s="40"/>
      <c r="F704" s="40"/>
      <c r="G704" s="40"/>
    </row>
    <row r="705">
      <c r="A705" s="40"/>
      <c r="C705" s="40"/>
      <c r="D705" s="40"/>
      <c r="E705" s="40"/>
      <c r="F705" s="40"/>
      <c r="G705" s="40"/>
    </row>
    <row r="706">
      <c r="A706" s="40"/>
      <c r="C706" s="40"/>
      <c r="D706" s="40"/>
      <c r="E706" s="40"/>
      <c r="F706" s="40"/>
      <c r="G706" s="40"/>
    </row>
    <row r="707">
      <c r="A707" s="40"/>
      <c r="C707" s="40"/>
      <c r="D707" s="40"/>
      <c r="E707" s="40"/>
      <c r="F707" s="40"/>
      <c r="G707" s="40"/>
    </row>
    <row r="708">
      <c r="A708" s="40"/>
      <c r="C708" s="40"/>
      <c r="D708" s="40"/>
      <c r="E708" s="40"/>
      <c r="F708" s="40"/>
      <c r="G708" s="40"/>
    </row>
    <row r="709">
      <c r="A709" s="40"/>
      <c r="C709" s="40"/>
      <c r="D709" s="40"/>
      <c r="E709" s="40"/>
      <c r="F709" s="40"/>
      <c r="G709" s="40"/>
    </row>
    <row r="710">
      <c r="A710" s="40"/>
      <c r="C710" s="40"/>
      <c r="D710" s="40"/>
      <c r="E710" s="40"/>
      <c r="F710" s="40"/>
      <c r="G710" s="40"/>
    </row>
    <row r="711">
      <c r="A711" s="40"/>
      <c r="C711" s="40"/>
      <c r="D711" s="40"/>
      <c r="E711" s="40"/>
      <c r="F711" s="40"/>
      <c r="G711" s="40"/>
    </row>
    <row r="712">
      <c r="A712" s="40"/>
      <c r="C712" s="40"/>
      <c r="D712" s="40"/>
      <c r="E712" s="40"/>
      <c r="F712" s="40"/>
      <c r="G712" s="40"/>
    </row>
    <row r="713">
      <c r="A713" s="40"/>
      <c r="C713" s="40"/>
      <c r="D713" s="40"/>
      <c r="E713" s="40"/>
      <c r="F713" s="40"/>
      <c r="G713" s="40"/>
    </row>
    <row r="714">
      <c r="A714" s="40"/>
      <c r="C714" s="40"/>
      <c r="D714" s="40"/>
      <c r="E714" s="40"/>
      <c r="F714" s="40"/>
      <c r="G714" s="40"/>
    </row>
    <row r="715">
      <c r="A715" s="40"/>
      <c r="C715" s="40"/>
      <c r="D715" s="40"/>
      <c r="E715" s="40"/>
      <c r="F715" s="40"/>
      <c r="G715" s="40"/>
    </row>
    <row r="716">
      <c r="A716" s="40"/>
      <c r="C716" s="40"/>
      <c r="D716" s="40"/>
      <c r="E716" s="40"/>
      <c r="F716" s="40"/>
      <c r="G716" s="40"/>
    </row>
    <row r="717">
      <c r="A717" s="40"/>
      <c r="C717" s="40"/>
      <c r="D717" s="40"/>
      <c r="E717" s="40"/>
      <c r="F717" s="40"/>
      <c r="G717" s="40"/>
    </row>
    <row r="718">
      <c r="A718" s="40"/>
      <c r="C718" s="40"/>
      <c r="D718" s="40"/>
      <c r="E718" s="40"/>
      <c r="F718" s="40"/>
      <c r="G718" s="40"/>
    </row>
    <row r="719">
      <c r="A719" s="40"/>
      <c r="C719" s="40"/>
      <c r="D719" s="40"/>
      <c r="E719" s="40"/>
      <c r="F719" s="40"/>
      <c r="G719" s="40"/>
    </row>
    <row r="720">
      <c r="A720" s="40"/>
      <c r="C720" s="40"/>
      <c r="D720" s="40"/>
      <c r="E720" s="40"/>
      <c r="F720" s="40"/>
      <c r="G720" s="40"/>
    </row>
    <row r="721">
      <c r="A721" s="40"/>
      <c r="C721" s="40"/>
      <c r="D721" s="40"/>
      <c r="E721" s="40"/>
      <c r="F721" s="40"/>
      <c r="G721" s="40"/>
    </row>
    <row r="722">
      <c r="A722" s="40"/>
      <c r="C722" s="40"/>
      <c r="D722" s="40"/>
      <c r="E722" s="40"/>
      <c r="F722" s="40"/>
      <c r="G722" s="40"/>
    </row>
    <row r="723">
      <c r="A723" s="40"/>
      <c r="C723" s="40"/>
      <c r="D723" s="40"/>
      <c r="E723" s="40"/>
      <c r="F723" s="40"/>
      <c r="G723" s="40"/>
    </row>
    <row r="724">
      <c r="A724" s="40"/>
      <c r="C724" s="40"/>
      <c r="D724" s="40"/>
      <c r="E724" s="40"/>
      <c r="F724" s="40"/>
      <c r="G724" s="40"/>
    </row>
    <row r="725">
      <c r="A725" s="40"/>
      <c r="C725" s="40"/>
      <c r="D725" s="40"/>
      <c r="E725" s="40"/>
      <c r="F725" s="40"/>
      <c r="G725" s="40"/>
    </row>
    <row r="726">
      <c r="A726" s="40"/>
      <c r="C726" s="40"/>
      <c r="D726" s="40"/>
      <c r="E726" s="40"/>
      <c r="F726" s="40"/>
      <c r="G726" s="40"/>
    </row>
    <row r="727">
      <c r="A727" s="40"/>
      <c r="C727" s="40"/>
      <c r="D727" s="40"/>
      <c r="E727" s="40"/>
      <c r="F727" s="40"/>
      <c r="G727" s="40"/>
    </row>
    <row r="728">
      <c r="A728" s="40"/>
      <c r="C728" s="40"/>
      <c r="D728" s="40"/>
      <c r="E728" s="40"/>
      <c r="F728" s="40"/>
      <c r="G728" s="40"/>
    </row>
    <row r="729">
      <c r="A729" s="40"/>
      <c r="C729" s="40"/>
      <c r="D729" s="40"/>
      <c r="E729" s="40"/>
      <c r="F729" s="40"/>
      <c r="G729" s="40"/>
    </row>
    <row r="730">
      <c r="A730" s="40"/>
      <c r="C730" s="40"/>
      <c r="D730" s="40"/>
      <c r="E730" s="40"/>
      <c r="F730" s="40"/>
      <c r="G730" s="40"/>
    </row>
    <row r="731">
      <c r="A731" s="40"/>
      <c r="C731" s="40"/>
      <c r="D731" s="40"/>
      <c r="E731" s="40"/>
      <c r="F731" s="40"/>
      <c r="G731" s="40"/>
    </row>
    <row r="732">
      <c r="A732" s="40"/>
      <c r="C732" s="40"/>
      <c r="D732" s="40"/>
      <c r="E732" s="40"/>
      <c r="F732" s="40"/>
      <c r="G732" s="40"/>
    </row>
    <row r="733">
      <c r="A733" s="40"/>
      <c r="C733" s="40"/>
      <c r="D733" s="40"/>
      <c r="E733" s="40"/>
      <c r="F733" s="40"/>
      <c r="G733" s="40"/>
    </row>
    <row r="734">
      <c r="A734" s="40"/>
      <c r="C734" s="40"/>
      <c r="D734" s="40"/>
      <c r="E734" s="40"/>
      <c r="F734" s="40"/>
      <c r="G734" s="40"/>
    </row>
    <row r="735">
      <c r="A735" s="40"/>
      <c r="C735" s="40"/>
      <c r="D735" s="40"/>
      <c r="E735" s="40"/>
      <c r="F735" s="40"/>
      <c r="G735" s="40"/>
    </row>
    <row r="736">
      <c r="A736" s="40"/>
      <c r="C736" s="40"/>
      <c r="D736" s="40"/>
      <c r="E736" s="40"/>
      <c r="F736" s="40"/>
      <c r="G736" s="40"/>
    </row>
    <row r="737">
      <c r="A737" s="40"/>
      <c r="C737" s="40"/>
      <c r="D737" s="40"/>
      <c r="E737" s="40"/>
      <c r="F737" s="40"/>
      <c r="G737" s="40"/>
    </row>
    <row r="738">
      <c r="A738" s="40"/>
      <c r="C738" s="40"/>
      <c r="D738" s="40"/>
      <c r="E738" s="40"/>
      <c r="F738" s="40"/>
      <c r="G738" s="40"/>
    </row>
    <row r="739">
      <c r="A739" s="40"/>
      <c r="C739" s="40"/>
      <c r="D739" s="40"/>
      <c r="E739" s="40"/>
      <c r="F739" s="40"/>
      <c r="G739" s="40"/>
    </row>
    <row r="740">
      <c r="A740" s="40"/>
      <c r="C740" s="40"/>
      <c r="D740" s="40"/>
      <c r="E740" s="40"/>
      <c r="F740" s="40"/>
      <c r="G740" s="40"/>
    </row>
    <row r="741">
      <c r="A741" s="40"/>
      <c r="C741" s="40"/>
      <c r="D741" s="40"/>
      <c r="E741" s="40"/>
      <c r="F741" s="40"/>
      <c r="G741" s="40"/>
    </row>
    <row r="742">
      <c r="A742" s="40"/>
      <c r="C742" s="40"/>
      <c r="D742" s="40"/>
      <c r="E742" s="40"/>
      <c r="F742" s="40"/>
      <c r="G742" s="40"/>
    </row>
    <row r="743">
      <c r="A743" s="40"/>
      <c r="C743" s="40"/>
      <c r="D743" s="40"/>
      <c r="E743" s="40"/>
      <c r="F743" s="40"/>
      <c r="G743" s="40"/>
    </row>
    <row r="744">
      <c r="A744" s="40"/>
      <c r="C744" s="40"/>
      <c r="D744" s="40"/>
      <c r="E744" s="40"/>
      <c r="F744" s="40"/>
      <c r="G744" s="40"/>
    </row>
    <row r="745">
      <c r="A745" s="40"/>
      <c r="C745" s="40"/>
      <c r="D745" s="40"/>
      <c r="E745" s="40"/>
      <c r="F745" s="40"/>
      <c r="G745" s="40"/>
    </row>
    <row r="746">
      <c r="A746" s="40"/>
      <c r="C746" s="40"/>
      <c r="D746" s="40"/>
      <c r="E746" s="40"/>
      <c r="F746" s="40"/>
      <c r="G746" s="40"/>
    </row>
    <row r="747">
      <c r="A747" s="40"/>
      <c r="C747" s="40"/>
      <c r="D747" s="40"/>
      <c r="E747" s="40"/>
      <c r="F747" s="40"/>
      <c r="G747" s="40"/>
    </row>
    <row r="748">
      <c r="A748" s="40"/>
      <c r="C748" s="40"/>
      <c r="D748" s="40"/>
      <c r="E748" s="40"/>
      <c r="F748" s="40"/>
      <c r="G748" s="40"/>
    </row>
    <row r="749">
      <c r="A749" s="40"/>
      <c r="C749" s="40"/>
      <c r="D749" s="40"/>
      <c r="E749" s="40"/>
      <c r="F749" s="40"/>
      <c r="G749" s="40"/>
    </row>
    <row r="750">
      <c r="A750" s="40"/>
      <c r="C750" s="40"/>
      <c r="D750" s="40"/>
      <c r="E750" s="40"/>
      <c r="F750" s="40"/>
      <c r="G750" s="40"/>
    </row>
    <row r="751">
      <c r="A751" s="40"/>
      <c r="C751" s="40"/>
      <c r="D751" s="40"/>
      <c r="E751" s="40"/>
      <c r="F751" s="40"/>
      <c r="G751" s="40"/>
    </row>
    <row r="752">
      <c r="A752" s="40"/>
      <c r="C752" s="40"/>
      <c r="D752" s="40"/>
      <c r="E752" s="40"/>
      <c r="F752" s="40"/>
      <c r="G752" s="40"/>
    </row>
    <row r="753">
      <c r="A753" s="40"/>
      <c r="C753" s="40"/>
      <c r="D753" s="40"/>
      <c r="E753" s="40"/>
      <c r="F753" s="40"/>
      <c r="G753" s="40"/>
    </row>
    <row r="754">
      <c r="A754" s="40"/>
      <c r="C754" s="40"/>
      <c r="D754" s="40"/>
      <c r="E754" s="40"/>
      <c r="F754" s="40"/>
      <c r="G754" s="40"/>
    </row>
    <row r="755">
      <c r="A755" s="40"/>
      <c r="C755" s="40"/>
      <c r="D755" s="40"/>
      <c r="E755" s="40"/>
      <c r="F755" s="40"/>
      <c r="G755" s="40"/>
    </row>
    <row r="756">
      <c r="A756" s="40"/>
      <c r="C756" s="40"/>
      <c r="D756" s="40"/>
      <c r="E756" s="40"/>
      <c r="F756" s="40"/>
      <c r="G756" s="40"/>
    </row>
    <row r="757">
      <c r="A757" s="40"/>
      <c r="C757" s="40"/>
      <c r="D757" s="40"/>
      <c r="E757" s="40"/>
      <c r="F757" s="40"/>
      <c r="G757" s="40"/>
    </row>
    <row r="758">
      <c r="A758" s="40"/>
      <c r="C758" s="40"/>
      <c r="D758" s="40"/>
      <c r="E758" s="40"/>
      <c r="F758" s="40"/>
      <c r="G758" s="40"/>
    </row>
    <row r="759">
      <c r="A759" s="40"/>
      <c r="C759" s="40"/>
      <c r="D759" s="40"/>
      <c r="E759" s="40"/>
      <c r="F759" s="40"/>
      <c r="G759" s="40"/>
    </row>
    <row r="760">
      <c r="A760" s="40"/>
      <c r="C760" s="40"/>
      <c r="D760" s="40"/>
      <c r="E760" s="40"/>
      <c r="F760" s="40"/>
      <c r="G760" s="40"/>
    </row>
    <row r="761">
      <c r="A761" s="40"/>
      <c r="C761" s="40"/>
      <c r="D761" s="40"/>
      <c r="E761" s="40"/>
      <c r="F761" s="40"/>
      <c r="G761" s="40"/>
    </row>
    <row r="762">
      <c r="A762" s="40"/>
      <c r="C762" s="40"/>
      <c r="D762" s="40"/>
      <c r="E762" s="40"/>
      <c r="F762" s="40"/>
      <c r="G762" s="40"/>
    </row>
    <row r="763">
      <c r="A763" s="40"/>
      <c r="C763" s="40"/>
      <c r="D763" s="40"/>
      <c r="E763" s="40"/>
      <c r="F763" s="40"/>
      <c r="G763" s="40"/>
    </row>
    <row r="764">
      <c r="A764" s="40"/>
      <c r="C764" s="40"/>
      <c r="D764" s="40"/>
      <c r="E764" s="40"/>
      <c r="F764" s="40"/>
      <c r="G764" s="40"/>
    </row>
    <row r="765">
      <c r="A765" s="40"/>
      <c r="C765" s="40"/>
      <c r="D765" s="40"/>
      <c r="E765" s="40"/>
      <c r="F765" s="40"/>
      <c r="G765" s="40"/>
    </row>
    <row r="766">
      <c r="A766" s="40"/>
      <c r="C766" s="40"/>
      <c r="D766" s="40"/>
      <c r="E766" s="40"/>
      <c r="F766" s="40"/>
      <c r="G766" s="40"/>
    </row>
    <row r="767">
      <c r="A767" s="40"/>
      <c r="C767" s="40"/>
      <c r="D767" s="40"/>
      <c r="E767" s="40"/>
      <c r="F767" s="40"/>
      <c r="G767" s="40"/>
    </row>
    <row r="768">
      <c r="A768" s="40"/>
      <c r="C768" s="40"/>
      <c r="D768" s="40"/>
      <c r="E768" s="40"/>
      <c r="F768" s="40"/>
      <c r="G768" s="40"/>
    </row>
    <row r="769">
      <c r="A769" s="40"/>
      <c r="C769" s="40"/>
      <c r="D769" s="40"/>
      <c r="E769" s="40"/>
      <c r="F769" s="40"/>
      <c r="G769" s="40"/>
    </row>
    <row r="770">
      <c r="A770" s="40"/>
      <c r="C770" s="40"/>
      <c r="D770" s="40"/>
      <c r="E770" s="40"/>
      <c r="F770" s="40"/>
      <c r="G770" s="40"/>
    </row>
    <row r="771">
      <c r="A771" s="40"/>
      <c r="C771" s="40"/>
      <c r="D771" s="40"/>
      <c r="E771" s="40"/>
      <c r="F771" s="40"/>
      <c r="G771" s="40"/>
    </row>
    <row r="772">
      <c r="A772" s="40"/>
      <c r="C772" s="40"/>
      <c r="D772" s="40"/>
      <c r="E772" s="40"/>
      <c r="F772" s="40"/>
      <c r="G772" s="40"/>
    </row>
    <row r="773">
      <c r="A773" s="40"/>
      <c r="C773" s="40"/>
      <c r="D773" s="40"/>
      <c r="E773" s="40"/>
      <c r="F773" s="40"/>
      <c r="G773" s="40"/>
    </row>
    <row r="774">
      <c r="A774" s="40"/>
      <c r="C774" s="40"/>
      <c r="D774" s="40"/>
      <c r="E774" s="40"/>
      <c r="F774" s="40"/>
      <c r="G774" s="40"/>
    </row>
    <row r="775">
      <c r="A775" s="40"/>
      <c r="C775" s="40"/>
      <c r="D775" s="40"/>
      <c r="E775" s="40"/>
      <c r="F775" s="40"/>
      <c r="G775" s="40"/>
    </row>
    <row r="776">
      <c r="A776" s="40"/>
      <c r="C776" s="40"/>
      <c r="D776" s="40"/>
      <c r="E776" s="40"/>
      <c r="F776" s="40"/>
      <c r="G776" s="40"/>
    </row>
    <row r="777">
      <c r="A777" s="40"/>
      <c r="C777" s="40"/>
      <c r="D777" s="40"/>
      <c r="E777" s="40"/>
      <c r="F777" s="40"/>
      <c r="G777" s="40"/>
    </row>
    <row r="778">
      <c r="A778" s="40"/>
      <c r="C778" s="40"/>
      <c r="D778" s="40"/>
      <c r="E778" s="40"/>
      <c r="F778" s="40"/>
      <c r="G778" s="40"/>
    </row>
    <row r="779">
      <c r="A779" s="40"/>
      <c r="C779" s="40"/>
      <c r="D779" s="40"/>
      <c r="E779" s="40"/>
      <c r="F779" s="40"/>
      <c r="G779" s="40"/>
    </row>
    <row r="780">
      <c r="A780" s="40"/>
      <c r="C780" s="40"/>
      <c r="D780" s="40"/>
      <c r="E780" s="40"/>
      <c r="F780" s="40"/>
      <c r="G780" s="40"/>
    </row>
    <row r="781">
      <c r="A781" s="40"/>
      <c r="C781" s="40"/>
      <c r="D781" s="40"/>
      <c r="E781" s="40"/>
      <c r="F781" s="40"/>
      <c r="G781" s="40"/>
    </row>
    <row r="782">
      <c r="A782" s="40"/>
      <c r="C782" s="40"/>
      <c r="D782" s="40"/>
      <c r="E782" s="40"/>
      <c r="F782" s="40"/>
      <c r="G782" s="40"/>
    </row>
    <row r="783">
      <c r="A783" s="40"/>
      <c r="C783" s="40"/>
      <c r="D783" s="40"/>
      <c r="E783" s="40"/>
      <c r="F783" s="40"/>
      <c r="G783" s="40"/>
    </row>
    <row r="784">
      <c r="A784" s="40"/>
      <c r="C784" s="40"/>
      <c r="D784" s="40"/>
      <c r="E784" s="40"/>
      <c r="F784" s="40"/>
      <c r="G784" s="40"/>
    </row>
    <row r="785">
      <c r="A785" s="40"/>
      <c r="C785" s="40"/>
      <c r="D785" s="40"/>
      <c r="E785" s="40"/>
      <c r="F785" s="40"/>
      <c r="G785" s="40"/>
    </row>
    <row r="786">
      <c r="A786" s="40"/>
      <c r="C786" s="40"/>
      <c r="D786" s="40"/>
      <c r="E786" s="40"/>
      <c r="F786" s="40"/>
      <c r="G786" s="40"/>
    </row>
    <row r="787">
      <c r="A787" s="40"/>
      <c r="C787" s="40"/>
      <c r="D787" s="40"/>
      <c r="E787" s="40"/>
      <c r="F787" s="40"/>
      <c r="G787" s="40"/>
    </row>
    <row r="788">
      <c r="A788" s="40"/>
      <c r="C788" s="40"/>
      <c r="D788" s="40"/>
      <c r="E788" s="40"/>
      <c r="F788" s="40"/>
      <c r="G788" s="40"/>
    </row>
    <row r="789">
      <c r="A789" s="40"/>
      <c r="C789" s="40"/>
      <c r="D789" s="40"/>
      <c r="E789" s="40"/>
      <c r="F789" s="40"/>
      <c r="G789" s="40"/>
    </row>
    <row r="790">
      <c r="A790" s="40"/>
      <c r="C790" s="40"/>
      <c r="D790" s="40"/>
      <c r="E790" s="40"/>
      <c r="F790" s="40"/>
      <c r="G790" s="40"/>
    </row>
    <row r="791">
      <c r="A791" s="40"/>
      <c r="C791" s="40"/>
      <c r="D791" s="40"/>
      <c r="E791" s="40"/>
      <c r="F791" s="40"/>
      <c r="G791" s="40"/>
    </row>
    <row r="792">
      <c r="A792" s="40"/>
      <c r="C792" s="40"/>
      <c r="D792" s="40"/>
      <c r="E792" s="40"/>
      <c r="F792" s="40"/>
      <c r="G792" s="40"/>
    </row>
    <row r="793">
      <c r="A793" s="40"/>
      <c r="C793" s="40"/>
      <c r="D793" s="40"/>
      <c r="E793" s="40"/>
      <c r="F793" s="40"/>
      <c r="G793" s="40"/>
    </row>
    <row r="794">
      <c r="A794" s="40"/>
      <c r="C794" s="40"/>
      <c r="D794" s="40"/>
      <c r="E794" s="40"/>
      <c r="F794" s="40"/>
      <c r="G794" s="40"/>
    </row>
    <row r="795">
      <c r="A795" s="40"/>
      <c r="C795" s="40"/>
      <c r="D795" s="40"/>
      <c r="E795" s="40"/>
      <c r="F795" s="40"/>
      <c r="G795" s="40"/>
    </row>
    <row r="796">
      <c r="A796" s="40"/>
      <c r="C796" s="40"/>
      <c r="D796" s="40"/>
      <c r="E796" s="40"/>
      <c r="F796" s="40"/>
      <c r="G796" s="40"/>
    </row>
    <row r="797">
      <c r="A797" s="40"/>
      <c r="C797" s="40"/>
      <c r="D797" s="40"/>
      <c r="E797" s="40"/>
      <c r="F797" s="40"/>
      <c r="G797" s="40"/>
    </row>
    <row r="798">
      <c r="A798" s="40"/>
      <c r="C798" s="40"/>
      <c r="D798" s="40"/>
      <c r="E798" s="40"/>
      <c r="F798" s="40"/>
      <c r="G798" s="40"/>
    </row>
    <row r="799">
      <c r="A799" s="40"/>
      <c r="C799" s="40"/>
      <c r="D799" s="40"/>
      <c r="E799" s="40"/>
      <c r="F799" s="40"/>
      <c r="G799" s="40"/>
    </row>
    <row r="800">
      <c r="A800" s="40"/>
      <c r="C800" s="40"/>
      <c r="D800" s="40"/>
      <c r="E800" s="40"/>
      <c r="F800" s="40"/>
      <c r="G800" s="40"/>
    </row>
    <row r="801">
      <c r="A801" s="40"/>
      <c r="C801" s="40"/>
      <c r="D801" s="40"/>
      <c r="E801" s="40"/>
      <c r="F801" s="40"/>
      <c r="G801" s="40"/>
    </row>
    <row r="802">
      <c r="A802" s="40"/>
      <c r="C802" s="40"/>
      <c r="D802" s="40"/>
      <c r="E802" s="40"/>
      <c r="F802" s="40"/>
      <c r="G802" s="40"/>
    </row>
    <row r="803">
      <c r="A803" s="40"/>
      <c r="C803" s="40"/>
      <c r="D803" s="40"/>
      <c r="E803" s="40"/>
      <c r="F803" s="40"/>
      <c r="G803" s="40"/>
    </row>
    <row r="804">
      <c r="A804" s="40"/>
      <c r="C804" s="40"/>
      <c r="D804" s="40"/>
      <c r="E804" s="40"/>
      <c r="F804" s="40"/>
      <c r="G804" s="40"/>
    </row>
    <row r="805">
      <c r="A805" s="40"/>
      <c r="C805" s="40"/>
      <c r="D805" s="40"/>
      <c r="E805" s="40"/>
      <c r="F805" s="40"/>
      <c r="G805" s="40"/>
    </row>
    <row r="806">
      <c r="A806" s="40"/>
      <c r="C806" s="40"/>
      <c r="D806" s="40"/>
      <c r="E806" s="40"/>
      <c r="F806" s="40"/>
      <c r="G806" s="40"/>
    </row>
    <row r="807">
      <c r="A807" s="40"/>
      <c r="C807" s="40"/>
      <c r="D807" s="40"/>
      <c r="E807" s="40"/>
      <c r="F807" s="40"/>
      <c r="G807" s="40"/>
    </row>
    <row r="808">
      <c r="A808" s="40"/>
      <c r="C808" s="40"/>
      <c r="D808" s="40"/>
      <c r="E808" s="40"/>
      <c r="F808" s="40"/>
      <c r="G808" s="40"/>
    </row>
    <row r="809">
      <c r="A809" s="40"/>
      <c r="C809" s="40"/>
      <c r="D809" s="40"/>
      <c r="E809" s="40"/>
      <c r="F809" s="40"/>
      <c r="G809" s="40"/>
    </row>
    <row r="810">
      <c r="A810" s="40"/>
      <c r="C810" s="40"/>
      <c r="D810" s="40"/>
      <c r="E810" s="40"/>
      <c r="F810" s="40"/>
      <c r="G810" s="40"/>
    </row>
    <row r="811">
      <c r="A811" s="40"/>
      <c r="C811" s="40"/>
      <c r="D811" s="40"/>
      <c r="E811" s="40"/>
      <c r="F811" s="40"/>
      <c r="G811" s="40"/>
    </row>
    <row r="812">
      <c r="A812" s="40"/>
      <c r="C812" s="40"/>
      <c r="D812" s="40"/>
      <c r="E812" s="40"/>
      <c r="F812" s="40"/>
      <c r="G812" s="40"/>
    </row>
    <row r="813">
      <c r="A813" s="40"/>
      <c r="C813" s="40"/>
      <c r="D813" s="40"/>
      <c r="E813" s="40"/>
      <c r="F813" s="40"/>
      <c r="G813" s="40"/>
    </row>
    <row r="814">
      <c r="A814" s="40"/>
      <c r="C814" s="40"/>
      <c r="D814" s="40"/>
      <c r="E814" s="40"/>
      <c r="F814" s="40"/>
      <c r="G814" s="40"/>
    </row>
    <row r="815">
      <c r="A815" s="40"/>
      <c r="C815" s="40"/>
      <c r="D815" s="40"/>
      <c r="E815" s="40"/>
      <c r="F815" s="40"/>
      <c r="G815" s="40"/>
    </row>
    <row r="816">
      <c r="A816" s="40"/>
      <c r="C816" s="40"/>
      <c r="D816" s="40"/>
      <c r="E816" s="40"/>
      <c r="F816" s="40"/>
      <c r="G816" s="40"/>
    </row>
    <row r="817">
      <c r="A817" s="40"/>
      <c r="C817" s="40"/>
      <c r="D817" s="40"/>
      <c r="E817" s="40"/>
      <c r="F817" s="40"/>
      <c r="G817" s="40"/>
    </row>
    <row r="818">
      <c r="A818" s="40"/>
      <c r="C818" s="40"/>
      <c r="D818" s="40"/>
      <c r="E818" s="40"/>
      <c r="F818" s="40"/>
      <c r="G818" s="40"/>
    </row>
    <row r="819">
      <c r="A819" s="40"/>
      <c r="C819" s="40"/>
      <c r="D819" s="40"/>
      <c r="E819" s="40"/>
      <c r="F819" s="40"/>
      <c r="G819" s="40"/>
    </row>
    <row r="820">
      <c r="A820" s="40"/>
      <c r="C820" s="40"/>
      <c r="D820" s="40"/>
      <c r="E820" s="40"/>
      <c r="F820" s="40"/>
      <c r="G820" s="40"/>
    </row>
    <row r="821">
      <c r="A821" s="40"/>
      <c r="C821" s="40"/>
      <c r="D821" s="40"/>
      <c r="E821" s="40"/>
      <c r="F821" s="40"/>
      <c r="G821" s="40"/>
    </row>
    <row r="822">
      <c r="A822" s="40"/>
      <c r="C822" s="40"/>
      <c r="D822" s="40"/>
      <c r="E822" s="40"/>
      <c r="F822" s="40"/>
      <c r="G822" s="40"/>
    </row>
    <row r="823">
      <c r="A823" s="40"/>
      <c r="C823" s="40"/>
      <c r="D823" s="40"/>
      <c r="E823" s="40"/>
      <c r="F823" s="40"/>
      <c r="G823" s="40"/>
    </row>
    <row r="824">
      <c r="A824" s="40"/>
      <c r="C824" s="40"/>
      <c r="D824" s="40"/>
      <c r="E824" s="40"/>
      <c r="F824" s="40"/>
      <c r="G824" s="40"/>
    </row>
    <row r="825">
      <c r="A825" s="40"/>
      <c r="C825" s="40"/>
      <c r="D825" s="40"/>
      <c r="E825" s="40"/>
      <c r="F825" s="40"/>
      <c r="G825" s="40"/>
    </row>
    <row r="826">
      <c r="A826" s="40"/>
      <c r="C826" s="40"/>
      <c r="D826" s="40"/>
      <c r="E826" s="40"/>
      <c r="F826" s="40"/>
      <c r="G826" s="40"/>
    </row>
    <row r="827">
      <c r="A827" s="40"/>
      <c r="C827" s="40"/>
      <c r="D827" s="40"/>
      <c r="E827" s="40"/>
      <c r="F827" s="40"/>
      <c r="G827" s="40"/>
    </row>
    <row r="828">
      <c r="A828" s="40"/>
      <c r="C828" s="40"/>
      <c r="D828" s="40"/>
      <c r="E828" s="40"/>
      <c r="F828" s="40"/>
      <c r="G828" s="40"/>
    </row>
    <row r="829">
      <c r="A829" s="40"/>
      <c r="C829" s="40"/>
      <c r="D829" s="40"/>
      <c r="E829" s="40"/>
      <c r="F829" s="40"/>
      <c r="G829" s="40"/>
    </row>
    <row r="830">
      <c r="A830" s="40"/>
      <c r="C830" s="40"/>
      <c r="D830" s="40"/>
      <c r="E830" s="40"/>
      <c r="F830" s="40"/>
      <c r="G830" s="40"/>
    </row>
    <row r="831">
      <c r="A831" s="40"/>
      <c r="C831" s="40"/>
      <c r="D831" s="40"/>
      <c r="E831" s="40"/>
      <c r="F831" s="40"/>
      <c r="G831" s="40"/>
    </row>
    <row r="832">
      <c r="A832" s="40"/>
      <c r="C832" s="40"/>
      <c r="D832" s="40"/>
      <c r="E832" s="40"/>
      <c r="F832" s="40"/>
      <c r="G832" s="40"/>
    </row>
    <row r="833">
      <c r="A833" s="40"/>
      <c r="C833" s="40"/>
      <c r="D833" s="40"/>
      <c r="E833" s="40"/>
      <c r="F833" s="40"/>
      <c r="G833" s="40"/>
    </row>
    <row r="834">
      <c r="A834" s="40"/>
      <c r="C834" s="40"/>
      <c r="D834" s="40"/>
      <c r="E834" s="40"/>
      <c r="F834" s="40"/>
      <c r="G834" s="40"/>
    </row>
    <row r="835">
      <c r="A835" s="40"/>
      <c r="C835" s="40"/>
      <c r="D835" s="40"/>
      <c r="E835" s="40"/>
      <c r="F835" s="40"/>
      <c r="G835" s="40"/>
    </row>
    <row r="836">
      <c r="A836" s="40"/>
      <c r="C836" s="40"/>
      <c r="D836" s="40"/>
      <c r="E836" s="40"/>
      <c r="F836" s="40"/>
      <c r="G836" s="40"/>
    </row>
    <row r="837">
      <c r="A837" s="40"/>
      <c r="C837" s="40"/>
      <c r="D837" s="40"/>
      <c r="E837" s="40"/>
      <c r="F837" s="40"/>
      <c r="G837" s="40"/>
    </row>
    <row r="838">
      <c r="A838" s="40"/>
      <c r="C838" s="40"/>
      <c r="D838" s="40"/>
      <c r="E838" s="40"/>
      <c r="F838" s="40"/>
      <c r="G838" s="40"/>
    </row>
    <row r="839">
      <c r="A839" s="40"/>
      <c r="C839" s="40"/>
      <c r="D839" s="40"/>
      <c r="E839" s="40"/>
      <c r="F839" s="40"/>
      <c r="G839" s="40"/>
    </row>
    <row r="840">
      <c r="A840" s="40"/>
      <c r="C840" s="40"/>
      <c r="D840" s="40"/>
      <c r="E840" s="40"/>
      <c r="F840" s="40"/>
      <c r="G840" s="40"/>
    </row>
    <row r="841">
      <c r="A841" s="40"/>
      <c r="C841" s="40"/>
      <c r="D841" s="40"/>
      <c r="E841" s="40"/>
      <c r="F841" s="40"/>
      <c r="G841" s="40"/>
    </row>
    <row r="842">
      <c r="A842" s="40"/>
      <c r="C842" s="40"/>
      <c r="D842" s="40"/>
      <c r="E842" s="40"/>
      <c r="F842" s="40"/>
      <c r="G842" s="40"/>
    </row>
    <row r="843">
      <c r="A843" s="40"/>
      <c r="C843" s="40"/>
      <c r="D843" s="40"/>
      <c r="E843" s="40"/>
      <c r="F843" s="40"/>
      <c r="G843" s="40"/>
    </row>
    <row r="844">
      <c r="A844" s="40"/>
      <c r="C844" s="40"/>
      <c r="D844" s="40"/>
      <c r="E844" s="40"/>
      <c r="F844" s="40"/>
      <c r="G844" s="40"/>
    </row>
    <row r="845">
      <c r="A845" s="40"/>
      <c r="C845" s="40"/>
      <c r="D845" s="40"/>
      <c r="E845" s="40"/>
      <c r="F845" s="40"/>
      <c r="G845" s="40"/>
    </row>
    <row r="846">
      <c r="A846" s="40"/>
      <c r="C846" s="40"/>
      <c r="D846" s="40"/>
      <c r="E846" s="40"/>
      <c r="F846" s="40"/>
      <c r="G846" s="40"/>
    </row>
    <row r="847">
      <c r="A847" s="40"/>
      <c r="C847" s="40"/>
      <c r="D847" s="40"/>
      <c r="E847" s="40"/>
      <c r="F847" s="40"/>
      <c r="G847" s="40"/>
    </row>
    <row r="848">
      <c r="A848" s="40"/>
      <c r="C848" s="40"/>
      <c r="D848" s="40"/>
      <c r="E848" s="40"/>
      <c r="F848" s="40"/>
      <c r="G848" s="40"/>
    </row>
    <row r="849">
      <c r="A849" s="40"/>
      <c r="C849" s="40"/>
      <c r="D849" s="40"/>
      <c r="E849" s="40"/>
      <c r="F849" s="40"/>
      <c r="G849" s="40"/>
    </row>
    <row r="850">
      <c r="A850" s="40"/>
      <c r="C850" s="40"/>
      <c r="D850" s="40"/>
      <c r="E850" s="40"/>
      <c r="F850" s="40"/>
      <c r="G850" s="40"/>
    </row>
    <row r="851">
      <c r="A851" s="40"/>
      <c r="C851" s="40"/>
      <c r="D851" s="40"/>
      <c r="E851" s="40"/>
      <c r="F851" s="40"/>
      <c r="G851" s="40"/>
    </row>
    <row r="852">
      <c r="A852" s="40"/>
      <c r="C852" s="40"/>
      <c r="D852" s="40"/>
      <c r="E852" s="40"/>
      <c r="F852" s="40"/>
      <c r="G852" s="40"/>
    </row>
    <row r="853">
      <c r="A853" s="40"/>
      <c r="C853" s="40"/>
      <c r="D853" s="40"/>
      <c r="E853" s="40"/>
      <c r="F853" s="40"/>
      <c r="G853" s="40"/>
    </row>
    <row r="854">
      <c r="A854" s="40"/>
      <c r="C854" s="40"/>
      <c r="D854" s="40"/>
      <c r="E854" s="40"/>
      <c r="F854" s="40"/>
      <c r="G854" s="40"/>
    </row>
    <row r="855">
      <c r="A855" s="40"/>
      <c r="C855" s="40"/>
      <c r="D855" s="40"/>
      <c r="E855" s="40"/>
      <c r="F855" s="40"/>
      <c r="G855" s="40"/>
    </row>
    <row r="856">
      <c r="A856" s="40"/>
      <c r="C856" s="40"/>
      <c r="D856" s="40"/>
      <c r="E856" s="40"/>
      <c r="F856" s="40"/>
      <c r="G856" s="40"/>
    </row>
    <row r="857">
      <c r="A857" s="40"/>
      <c r="C857" s="40"/>
      <c r="D857" s="40"/>
      <c r="E857" s="40"/>
      <c r="F857" s="40"/>
      <c r="G857" s="40"/>
    </row>
    <row r="858">
      <c r="A858" s="40"/>
      <c r="C858" s="40"/>
      <c r="D858" s="40"/>
      <c r="E858" s="40"/>
      <c r="F858" s="40"/>
      <c r="G858" s="40"/>
    </row>
    <row r="859">
      <c r="A859" s="40"/>
      <c r="C859" s="40"/>
      <c r="D859" s="40"/>
      <c r="E859" s="40"/>
      <c r="F859" s="40"/>
      <c r="G859" s="40"/>
    </row>
    <row r="860">
      <c r="A860" s="40"/>
      <c r="C860" s="40"/>
      <c r="D860" s="40"/>
      <c r="E860" s="40"/>
      <c r="F860" s="40"/>
      <c r="G860" s="40"/>
    </row>
    <row r="861">
      <c r="A861" s="40"/>
      <c r="C861" s="40"/>
      <c r="D861" s="40"/>
      <c r="E861" s="40"/>
      <c r="F861" s="40"/>
      <c r="G861" s="40"/>
    </row>
    <row r="862">
      <c r="A862" s="40"/>
      <c r="C862" s="40"/>
      <c r="D862" s="40"/>
      <c r="E862" s="40"/>
      <c r="F862" s="40"/>
      <c r="G862" s="40"/>
    </row>
    <row r="863">
      <c r="A863" s="40"/>
      <c r="C863" s="40"/>
      <c r="D863" s="40"/>
      <c r="E863" s="40"/>
      <c r="F863" s="40"/>
      <c r="G863" s="40"/>
    </row>
    <row r="864">
      <c r="A864" s="40"/>
      <c r="C864" s="40"/>
      <c r="D864" s="40"/>
      <c r="E864" s="40"/>
      <c r="F864" s="40"/>
      <c r="G864" s="40"/>
    </row>
    <row r="865">
      <c r="A865" s="40"/>
      <c r="C865" s="40"/>
      <c r="D865" s="40"/>
      <c r="E865" s="40"/>
      <c r="F865" s="40"/>
      <c r="G865" s="40"/>
    </row>
    <row r="866">
      <c r="A866" s="40"/>
      <c r="C866" s="40"/>
      <c r="D866" s="40"/>
      <c r="E866" s="40"/>
      <c r="F866" s="40"/>
      <c r="G866" s="40"/>
    </row>
    <row r="867">
      <c r="A867" s="40"/>
      <c r="C867" s="40"/>
      <c r="D867" s="40"/>
      <c r="E867" s="40"/>
      <c r="F867" s="40"/>
      <c r="G867" s="40"/>
    </row>
    <row r="868">
      <c r="A868" s="40"/>
      <c r="C868" s="40"/>
      <c r="D868" s="40"/>
      <c r="E868" s="40"/>
      <c r="F868" s="40"/>
      <c r="G868" s="40"/>
    </row>
    <row r="869">
      <c r="A869" s="40"/>
      <c r="C869" s="40"/>
      <c r="D869" s="40"/>
      <c r="E869" s="40"/>
      <c r="F869" s="40"/>
      <c r="G869" s="40"/>
    </row>
    <row r="870">
      <c r="A870" s="40"/>
      <c r="C870" s="40"/>
      <c r="D870" s="40"/>
      <c r="E870" s="40"/>
      <c r="F870" s="40"/>
      <c r="G870" s="40"/>
    </row>
    <row r="871">
      <c r="A871" s="40"/>
      <c r="C871" s="40"/>
      <c r="D871" s="40"/>
      <c r="E871" s="40"/>
      <c r="F871" s="40"/>
      <c r="G871" s="40"/>
    </row>
    <row r="872">
      <c r="A872" s="40"/>
      <c r="C872" s="40"/>
      <c r="D872" s="40"/>
      <c r="E872" s="40"/>
      <c r="F872" s="40"/>
      <c r="G872" s="40"/>
    </row>
    <row r="873">
      <c r="A873" s="40"/>
      <c r="C873" s="40"/>
      <c r="D873" s="40"/>
      <c r="E873" s="40"/>
      <c r="F873" s="40"/>
      <c r="G873" s="40"/>
    </row>
    <row r="874">
      <c r="A874" s="40"/>
      <c r="C874" s="40"/>
      <c r="D874" s="40"/>
      <c r="E874" s="40"/>
      <c r="F874" s="40"/>
      <c r="G874" s="40"/>
    </row>
    <row r="875">
      <c r="A875" s="40"/>
      <c r="C875" s="40"/>
      <c r="D875" s="40"/>
      <c r="E875" s="40"/>
      <c r="F875" s="40"/>
      <c r="G875" s="40"/>
    </row>
    <row r="876">
      <c r="A876" s="40"/>
      <c r="C876" s="40"/>
      <c r="D876" s="40"/>
      <c r="E876" s="40"/>
      <c r="F876" s="40"/>
      <c r="G876" s="40"/>
    </row>
    <row r="877">
      <c r="A877" s="40"/>
      <c r="C877" s="40"/>
      <c r="D877" s="40"/>
      <c r="E877" s="40"/>
      <c r="F877" s="40"/>
      <c r="G877" s="40"/>
    </row>
    <row r="878">
      <c r="A878" s="40"/>
      <c r="C878" s="40"/>
      <c r="D878" s="40"/>
      <c r="E878" s="40"/>
      <c r="F878" s="40"/>
      <c r="G878" s="40"/>
    </row>
    <row r="879">
      <c r="A879" s="40"/>
      <c r="C879" s="40"/>
      <c r="D879" s="40"/>
      <c r="E879" s="40"/>
      <c r="F879" s="40"/>
      <c r="G879" s="40"/>
    </row>
    <row r="880">
      <c r="A880" s="40"/>
      <c r="C880" s="40"/>
      <c r="D880" s="40"/>
      <c r="E880" s="40"/>
      <c r="F880" s="40"/>
      <c r="G880" s="40"/>
    </row>
    <row r="881">
      <c r="A881" s="40"/>
      <c r="C881" s="40"/>
      <c r="D881" s="40"/>
      <c r="E881" s="40"/>
      <c r="F881" s="40"/>
      <c r="G881" s="40"/>
    </row>
    <row r="882">
      <c r="A882" s="40"/>
      <c r="C882" s="40"/>
      <c r="D882" s="40"/>
      <c r="E882" s="40"/>
      <c r="F882" s="40"/>
      <c r="G882" s="40"/>
    </row>
    <row r="883">
      <c r="A883" s="40"/>
      <c r="C883" s="40"/>
      <c r="D883" s="40"/>
      <c r="E883" s="40"/>
      <c r="F883" s="40"/>
      <c r="G883" s="40"/>
    </row>
    <row r="884">
      <c r="A884" s="40"/>
      <c r="C884" s="40"/>
      <c r="D884" s="40"/>
      <c r="E884" s="40"/>
      <c r="F884" s="40"/>
      <c r="G884" s="40"/>
    </row>
    <row r="885">
      <c r="A885" s="40"/>
      <c r="C885" s="40"/>
      <c r="D885" s="40"/>
      <c r="E885" s="40"/>
      <c r="F885" s="40"/>
      <c r="G885" s="40"/>
    </row>
    <row r="886">
      <c r="A886" s="40"/>
      <c r="C886" s="40"/>
      <c r="D886" s="40"/>
      <c r="E886" s="40"/>
      <c r="F886" s="40"/>
      <c r="G886" s="40"/>
    </row>
    <row r="887">
      <c r="A887" s="40"/>
      <c r="C887" s="40"/>
      <c r="D887" s="40"/>
      <c r="E887" s="40"/>
      <c r="F887" s="40"/>
      <c r="G887" s="40"/>
    </row>
    <row r="888">
      <c r="A888" s="40"/>
      <c r="C888" s="40"/>
      <c r="D888" s="40"/>
      <c r="E888" s="40"/>
      <c r="F888" s="40"/>
      <c r="G888" s="40"/>
    </row>
    <row r="889">
      <c r="A889" s="40"/>
      <c r="C889" s="40"/>
      <c r="D889" s="40"/>
      <c r="E889" s="40"/>
      <c r="F889" s="40"/>
      <c r="G889" s="40"/>
    </row>
    <row r="890">
      <c r="A890" s="40"/>
      <c r="C890" s="40"/>
      <c r="D890" s="40"/>
      <c r="E890" s="40"/>
      <c r="F890" s="40"/>
      <c r="G890" s="40"/>
    </row>
    <row r="891">
      <c r="A891" s="40"/>
      <c r="C891" s="40"/>
      <c r="D891" s="40"/>
      <c r="E891" s="40"/>
      <c r="F891" s="40"/>
      <c r="G891" s="40"/>
    </row>
    <row r="892">
      <c r="A892" s="40"/>
      <c r="C892" s="40"/>
      <c r="D892" s="40"/>
      <c r="E892" s="40"/>
      <c r="F892" s="40"/>
      <c r="G892" s="40"/>
    </row>
    <row r="893">
      <c r="A893" s="40"/>
      <c r="C893" s="40"/>
      <c r="D893" s="40"/>
      <c r="E893" s="40"/>
      <c r="F893" s="40"/>
      <c r="G893" s="40"/>
    </row>
    <row r="894">
      <c r="A894" s="40"/>
      <c r="C894" s="40"/>
      <c r="D894" s="40"/>
      <c r="E894" s="40"/>
      <c r="F894" s="40"/>
      <c r="G894" s="40"/>
    </row>
    <row r="895">
      <c r="A895" s="40"/>
      <c r="C895" s="40"/>
      <c r="D895" s="40"/>
      <c r="E895" s="40"/>
      <c r="F895" s="40"/>
      <c r="G895" s="40"/>
    </row>
    <row r="896">
      <c r="A896" s="40"/>
      <c r="C896" s="40"/>
      <c r="D896" s="40"/>
      <c r="E896" s="40"/>
      <c r="F896" s="40"/>
      <c r="G896" s="40"/>
    </row>
    <row r="897">
      <c r="A897" s="40"/>
      <c r="C897" s="40"/>
      <c r="D897" s="40"/>
      <c r="E897" s="40"/>
      <c r="F897" s="40"/>
      <c r="G897" s="40"/>
    </row>
    <row r="898">
      <c r="A898" s="40"/>
      <c r="C898" s="40"/>
      <c r="D898" s="40"/>
      <c r="E898" s="40"/>
      <c r="F898" s="40"/>
      <c r="G898" s="40"/>
    </row>
    <row r="899">
      <c r="A899" s="40"/>
      <c r="C899" s="40"/>
      <c r="D899" s="40"/>
      <c r="E899" s="40"/>
      <c r="F899" s="40"/>
      <c r="G899" s="40"/>
    </row>
    <row r="900">
      <c r="A900" s="40"/>
      <c r="C900" s="40"/>
      <c r="D900" s="40"/>
      <c r="E900" s="40"/>
      <c r="F900" s="40"/>
      <c r="G900" s="40"/>
    </row>
    <row r="901">
      <c r="A901" s="40"/>
      <c r="C901" s="40"/>
      <c r="D901" s="40"/>
      <c r="E901" s="40"/>
      <c r="F901" s="40"/>
      <c r="G901" s="40"/>
    </row>
    <row r="902">
      <c r="A902" s="40"/>
      <c r="C902" s="40"/>
      <c r="D902" s="40"/>
      <c r="E902" s="40"/>
      <c r="F902" s="40"/>
      <c r="G902" s="40"/>
    </row>
    <row r="903">
      <c r="A903" s="40"/>
      <c r="C903" s="40"/>
      <c r="D903" s="40"/>
      <c r="E903" s="40"/>
      <c r="F903" s="40"/>
      <c r="G903" s="40"/>
    </row>
    <row r="904">
      <c r="A904" s="40"/>
      <c r="C904" s="40"/>
      <c r="D904" s="40"/>
      <c r="E904" s="40"/>
      <c r="F904" s="40"/>
      <c r="G904" s="40"/>
    </row>
    <row r="905">
      <c r="A905" s="40"/>
      <c r="C905" s="40"/>
      <c r="D905" s="40"/>
      <c r="E905" s="40"/>
      <c r="F905" s="40"/>
      <c r="G905" s="40"/>
    </row>
    <row r="906">
      <c r="A906" s="40"/>
      <c r="C906" s="40"/>
      <c r="D906" s="40"/>
      <c r="E906" s="40"/>
      <c r="F906" s="40"/>
      <c r="G906" s="40"/>
    </row>
    <row r="907">
      <c r="A907" s="40"/>
      <c r="C907" s="40"/>
      <c r="D907" s="40"/>
      <c r="E907" s="40"/>
      <c r="F907" s="40"/>
      <c r="G907" s="40"/>
    </row>
    <row r="908">
      <c r="A908" s="40"/>
      <c r="C908" s="40"/>
      <c r="D908" s="40"/>
      <c r="E908" s="40"/>
      <c r="F908" s="40"/>
      <c r="G908" s="40"/>
    </row>
    <row r="909">
      <c r="A909" s="40"/>
      <c r="C909" s="40"/>
      <c r="D909" s="40"/>
      <c r="E909" s="40"/>
      <c r="F909" s="40"/>
      <c r="G909" s="40"/>
    </row>
    <row r="910">
      <c r="A910" s="40"/>
      <c r="C910" s="40"/>
      <c r="D910" s="40"/>
      <c r="E910" s="40"/>
      <c r="F910" s="40"/>
      <c r="G910" s="40"/>
    </row>
    <row r="911">
      <c r="A911" s="40"/>
      <c r="C911" s="40"/>
      <c r="D911" s="40"/>
      <c r="E911" s="40"/>
      <c r="F911" s="40"/>
      <c r="G911" s="40"/>
    </row>
    <row r="912">
      <c r="A912" s="40"/>
      <c r="C912" s="40"/>
      <c r="D912" s="40"/>
      <c r="E912" s="40"/>
      <c r="F912" s="40"/>
      <c r="G912" s="40"/>
    </row>
    <row r="913">
      <c r="A913" s="40"/>
      <c r="C913" s="40"/>
      <c r="D913" s="40"/>
      <c r="E913" s="40"/>
      <c r="F913" s="40"/>
      <c r="G913" s="40"/>
    </row>
    <row r="914">
      <c r="A914" s="40"/>
      <c r="C914" s="40"/>
      <c r="D914" s="40"/>
      <c r="E914" s="40"/>
      <c r="F914" s="40"/>
      <c r="G914" s="40"/>
    </row>
    <row r="915">
      <c r="A915" s="40"/>
      <c r="C915" s="40"/>
      <c r="D915" s="40"/>
      <c r="E915" s="40"/>
      <c r="F915" s="40"/>
      <c r="G915" s="40"/>
    </row>
    <row r="916">
      <c r="A916" s="40"/>
      <c r="C916" s="40"/>
      <c r="D916" s="40"/>
      <c r="E916" s="40"/>
      <c r="F916" s="40"/>
      <c r="G916" s="40"/>
    </row>
    <row r="917">
      <c r="A917" s="40"/>
      <c r="C917" s="40"/>
      <c r="D917" s="40"/>
      <c r="E917" s="40"/>
      <c r="F917" s="40"/>
      <c r="G917" s="40"/>
    </row>
    <row r="918">
      <c r="A918" s="40"/>
      <c r="C918" s="40"/>
      <c r="D918" s="40"/>
      <c r="E918" s="40"/>
      <c r="F918" s="40"/>
      <c r="G918" s="40"/>
    </row>
    <row r="919">
      <c r="A919" s="40"/>
      <c r="C919" s="40"/>
      <c r="D919" s="40"/>
      <c r="E919" s="40"/>
      <c r="F919" s="40"/>
      <c r="G919" s="40"/>
    </row>
    <row r="920">
      <c r="A920" s="40"/>
      <c r="C920" s="40"/>
      <c r="D920" s="40"/>
      <c r="E920" s="40"/>
      <c r="F920" s="40"/>
      <c r="G920" s="40"/>
    </row>
    <row r="921">
      <c r="A921" s="40"/>
      <c r="C921" s="40"/>
      <c r="D921" s="40"/>
      <c r="E921" s="40"/>
      <c r="F921" s="40"/>
      <c r="G921" s="40"/>
    </row>
    <row r="922">
      <c r="A922" s="40"/>
      <c r="C922" s="40"/>
      <c r="D922" s="40"/>
      <c r="E922" s="40"/>
      <c r="F922" s="40"/>
      <c r="G922" s="40"/>
    </row>
    <row r="923">
      <c r="A923" s="40"/>
      <c r="C923" s="40"/>
      <c r="D923" s="40"/>
      <c r="E923" s="40"/>
      <c r="F923" s="40"/>
      <c r="G923" s="40"/>
    </row>
    <row r="924">
      <c r="A924" s="40"/>
      <c r="C924" s="40"/>
      <c r="D924" s="40"/>
      <c r="E924" s="40"/>
      <c r="F924" s="40"/>
      <c r="G924" s="40"/>
    </row>
    <row r="925">
      <c r="A925" s="40"/>
      <c r="C925" s="40"/>
      <c r="D925" s="40"/>
      <c r="E925" s="40"/>
      <c r="F925" s="40"/>
      <c r="G925" s="40"/>
    </row>
    <row r="926">
      <c r="A926" s="40"/>
      <c r="C926" s="40"/>
      <c r="D926" s="40"/>
      <c r="E926" s="40"/>
      <c r="F926" s="40"/>
      <c r="G926" s="40"/>
    </row>
    <row r="927">
      <c r="A927" s="40"/>
      <c r="C927" s="40"/>
      <c r="D927" s="40"/>
      <c r="E927" s="40"/>
      <c r="F927" s="40"/>
      <c r="G927" s="40"/>
    </row>
    <row r="928">
      <c r="A928" s="40"/>
      <c r="C928" s="40"/>
      <c r="D928" s="40"/>
      <c r="E928" s="40"/>
      <c r="F928" s="40"/>
      <c r="G928" s="40"/>
    </row>
    <row r="929">
      <c r="A929" s="40"/>
      <c r="C929" s="40"/>
      <c r="D929" s="40"/>
      <c r="E929" s="40"/>
      <c r="F929" s="40"/>
      <c r="G929" s="40"/>
    </row>
    <row r="930">
      <c r="A930" s="40"/>
      <c r="C930" s="40"/>
      <c r="D930" s="40"/>
      <c r="E930" s="40"/>
      <c r="F930" s="40"/>
      <c r="G930" s="40"/>
    </row>
    <row r="931">
      <c r="A931" s="40"/>
      <c r="C931" s="40"/>
      <c r="D931" s="40"/>
      <c r="E931" s="40"/>
      <c r="F931" s="40"/>
      <c r="G931" s="40"/>
    </row>
    <row r="932">
      <c r="A932" s="40"/>
      <c r="C932" s="40"/>
      <c r="D932" s="40"/>
      <c r="E932" s="40"/>
      <c r="F932" s="40"/>
      <c r="G932" s="40"/>
    </row>
    <row r="933">
      <c r="A933" s="40"/>
      <c r="C933" s="40"/>
      <c r="D933" s="40"/>
      <c r="E933" s="40"/>
      <c r="F933" s="40"/>
      <c r="G933" s="40"/>
    </row>
    <row r="934">
      <c r="A934" s="40"/>
      <c r="C934" s="40"/>
      <c r="D934" s="40"/>
      <c r="E934" s="40"/>
      <c r="F934" s="40"/>
      <c r="G934" s="40"/>
    </row>
    <row r="935">
      <c r="A935" s="40"/>
      <c r="C935" s="40"/>
      <c r="D935" s="40"/>
      <c r="E935" s="40"/>
      <c r="F935" s="40"/>
      <c r="G935" s="40"/>
    </row>
    <row r="936">
      <c r="A936" s="40"/>
      <c r="C936" s="40"/>
      <c r="D936" s="40"/>
      <c r="E936" s="40"/>
      <c r="F936" s="40"/>
      <c r="G936" s="40"/>
    </row>
    <row r="937">
      <c r="A937" s="40"/>
      <c r="C937" s="40"/>
      <c r="D937" s="40"/>
      <c r="E937" s="40"/>
      <c r="F937" s="40"/>
      <c r="G937" s="40"/>
    </row>
    <row r="938">
      <c r="A938" s="40"/>
      <c r="C938" s="40"/>
      <c r="D938" s="40"/>
      <c r="E938" s="40"/>
      <c r="F938" s="40"/>
      <c r="G938" s="40"/>
    </row>
    <row r="939">
      <c r="A939" s="40"/>
      <c r="C939" s="40"/>
      <c r="D939" s="40"/>
      <c r="E939" s="40"/>
      <c r="F939" s="40"/>
      <c r="G939" s="40"/>
    </row>
    <row r="940">
      <c r="A940" s="40"/>
      <c r="C940" s="40"/>
      <c r="D940" s="40"/>
      <c r="E940" s="40"/>
      <c r="F940" s="40"/>
      <c r="G940" s="40"/>
    </row>
    <row r="941">
      <c r="A941" s="40"/>
      <c r="C941" s="40"/>
      <c r="D941" s="40"/>
      <c r="E941" s="40"/>
      <c r="F941" s="40"/>
      <c r="G941" s="40"/>
    </row>
    <row r="942">
      <c r="A942" s="40"/>
      <c r="C942" s="40"/>
      <c r="D942" s="40"/>
      <c r="E942" s="40"/>
      <c r="F942" s="40"/>
      <c r="G942" s="40"/>
    </row>
    <row r="943">
      <c r="A943" s="40"/>
      <c r="C943" s="40"/>
      <c r="D943" s="40"/>
      <c r="E943" s="40"/>
      <c r="F943" s="40"/>
      <c r="G943" s="40"/>
    </row>
    <row r="944">
      <c r="A944" s="40"/>
      <c r="C944" s="40"/>
      <c r="D944" s="40"/>
      <c r="E944" s="40"/>
      <c r="F944" s="40"/>
      <c r="G944" s="40"/>
    </row>
    <row r="945">
      <c r="A945" s="40"/>
      <c r="C945" s="40"/>
      <c r="D945" s="40"/>
      <c r="E945" s="40"/>
      <c r="F945" s="40"/>
      <c r="G945" s="40"/>
    </row>
    <row r="946">
      <c r="A946" s="40"/>
      <c r="C946" s="40"/>
      <c r="D946" s="40"/>
      <c r="E946" s="40"/>
      <c r="F946" s="40"/>
      <c r="G946" s="40"/>
    </row>
    <row r="947">
      <c r="A947" s="40"/>
      <c r="C947" s="40"/>
      <c r="D947" s="40"/>
      <c r="E947" s="40"/>
      <c r="F947" s="40"/>
      <c r="G947" s="40"/>
    </row>
    <row r="948">
      <c r="A948" s="40"/>
      <c r="C948" s="40"/>
      <c r="D948" s="40"/>
      <c r="E948" s="40"/>
      <c r="F948" s="40"/>
      <c r="G948" s="40"/>
    </row>
    <row r="949">
      <c r="A949" s="40"/>
      <c r="C949" s="40"/>
      <c r="D949" s="40"/>
      <c r="E949" s="40"/>
      <c r="F949" s="40"/>
      <c r="G949" s="40"/>
    </row>
    <row r="950">
      <c r="A950" s="40"/>
      <c r="C950" s="40"/>
      <c r="D950" s="40"/>
      <c r="E950" s="40"/>
      <c r="F950" s="40"/>
      <c r="G950" s="40"/>
    </row>
    <row r="951">
      <c r="A951" s="40"/>
      <c r="C951" s="40"/>
      <c r="D951" s="40"/>
      <c r="E951" s="40"/>
      <c r="F951" s="40"/>
      <c r="G951" s="40"/>
    </row>
    <row r="952">
      <c r="A952" s="40"/>
      <c r="C952" s="40"/>
      <c r="D952" s="40"/>
      <c r="E952" s="40"/>
      <c r="F952" s="40"/>
      <c r="G952" s="40"/>
    </row>
    <row r="953">
      <c r="A953" s="40"/>
      <c r="C953" s="40"/>
      <c r="D953" s="40"/>
      <c r="E953" s="40"/>
      <c r="F953" s="40"/>
      <c r="G953" s="40"/>
    </row>
    <row r="954">
      <c r="A954" s="40"/>
      <c r="C954" s="40"/>
      <c r="D954" s="40"/>
      <c r="E954" s="40"/>
      <c r="F954" s="40"/>
      <c r="G954" s="40"/>
    </row>
    <row r="955">
      <c r="A955" s="40"/>
      <c r="C955" s="40"/>
      <c r="D955" s="40"/>
      <c r="E955" s="40"/>
      <c r="F955" s="40"/>
      <c r="G955" s="40"/>
    </row>
    <row r="956">
      <c r="A956" s="40"/>
      <c r="C956" s="40"/>
      <c r="D956" s="40"/>
      <c r="E956" s="40"/>
      <c r="F956" s="40"/>
      <c r="G956" s="40"/>
    </row>
    <row r="957">
      <c r="A957" s="40"/>
      <c r="C957" s="40"/>
      <c r="D957" s="40"/>
      <c r="E957" s="40"/>
      <c r="F957" s="40"/>
      <c r="G957" s="40"/>
    </row>
    <row r="958">
      <c r="A958" s="40"/>
      <c r="C958" s="40"/>
      <c r="D958" s="40"/>
      <c r="E958" s="40"/>
      <c r="F958" s="40"/>
      <c r="G958" s="40"/>
    </row>
    <row r="959">
      <c r="A959" s="40"/>
      <c r="C959" s="40"/>
      <c r="D959" s="40"/>
      <c r="E959" s="40"/>
      <c r="F959" s="40"/>
      <c r="G959" s="40"/>
    </row>
    <row r="960">
      <c r="A960" s="40"/>
      <c r="C960" s="40"/>
      <c r="D960" s="40"/>
      <c r="E960" s="40"/>
      <c r="F960" s="40"/>
      <c r="G960" s="40"/>
    </row>
    <row r="961">
      <c r="A961" s="40"/>
      <c r="C961" s="40"/>
      <c r="D961" s="40"/>
      <c r="E961" s="40"/>
      <c r="F961" s="40"/>
      <c r="G961" s="40"/>
    </row>
    <row r="962">
      <c r="A962" s="40"/>
      <c r="C962" s="40"/>
      <c r="D962" s="40"/>
      <c r="E962" s="40"/>
      <c r="F962" s="40"/>
      <c r="G962" s="40"/>
    </row>
    <row r="963">
      <c r="A963" s="40"/>
      <c r="C963" s="40"/>
      <c r="D963" s="40"/>
      <c r="E963" s="40"/>
      <c r="F963" s="40"/>
      <c r="G963" s="40"/>
    </row>
    <row r="964">
      <c r="A964" s="40"/>
      <c r="C964" s="40"/>
      <c r="D964" s="40"/>
      <c r="E964" s="40"/>
      <c r="F964" s="40"/>
      <c r="G964" s="40"/>
    </row>
    <row r="965">
      <c r="A965" s="40"/>
      <c r="C965" s="40"/>
      <c r="D965" s="40"/>
      <c r="E965" s="40"/>
      <c r="F965" s="40"/>
      <c r="G965" s="40"/>
    </row>
    <row r="966">
      <c r="A966" s="40"/>
      <c r="C966" s="40"/>
      <c r="D966" s="40"/>
      <c r="E966" s="40"/>
      <c r="F966" s="40"/>
      <c r="G966" s="40"/>
    </row>
    <row r="967">
      <c r="A967" s="40"/>
      <c r="C967" s="40"/>
      <c r="D967" s="40"/>
      <c r="E967" s="40"/>
      <c r="F967" s="40"/>
      <c r="G967" s="40"/>
    </row>
    <row r="968">
      <c r="A968" s="40"/>
      <c r="C968" s="40"/>
      <c r="D968" s="40"/>
      <c r="E968" s="40"/>
      <c r="F968" s="40"/>
      <c r="G968" s="40"/>
    </row>
    <row r="969">
      <c r="A969" s="40"/>
      <c r="C969" s="40"/>
      <c r="D969" s="40"/>
      <c r="E969" s="40"/>
      <c r="F969" s="40"/>
      <c r="G969" s="40"/>
    </row>
    <row r="970">
      <c r="A970" s="40"/>
      <c r="C970" s="40"/>
      <c r="D970" s="40"/>
      <c r="E970" s="40"/>
      <c r="F970" s="40"/>
      <c r="G970" s="40"/>
    </row>
    <row r="971">
      <c r="A971" s="40"/>
      <c r="C971" s="40"/>
      <c r="D971" s="40"/>
      <c r="E971" s="40"/>
      <c r="F971" s="40"/>
      <c r="G971" s="40"/>
    </row>
    <row r="972">
      <c r="A972" s="40"/>
      <c r="C972" s="40"/>
      <c r="D972" s="40"/>
      <c r="E972" s="40"/>
      <c r="F972" s="40"/>
      <c r="G972" s="40"/>
    </row>
    <row r="973">
      <c r="A973" s="40"/>
      <c r="C973" s="40"/>
      <c r="D973" s="40"/>
      <c r="E973" s="40"/>
      <c r="F973" s="40"/>
      <c r="G973" s="40"/>
    </row>
    <row r="974">
      <c r="A974" s="40"/>
      <c r="C974" s="40"/>
      <c r="D974" s="40"/>
      <c r="E974" s="40"/>
      <c r="F974" s="40"/>
      <c r="G974" s="40"/>
    </row>
    <row r="975">
      <c r="A975" s="40"/>
      <c r="C975" s="40"/>
      <c r="D975" s="40"/>
      <c r="E975" s="40"/>
      <c r="F975" s="40"/>
      <c r="G975" s="40"/>
    </row>
    <row r="976">
      <c r="A976" s="40"/>
      <c r="C976" s="40"/>
      <c r="D976" s="40"/>
      <c r="E976" s="40"/>
      <c r="F976" s="40"/>
      <c r="G976" s="40"/>
    </row>
    <row r="977">
      <c r="A977" s="40"/>
      <c r="C977" s="40"/>
      <c r="D977" s="40"/>
      <c r="E977" s="40"/>
      <c r="F977" s="40"/>
      <c r="G977" s="40"/>
    </row>
    <row r="978">
      <c r="A978" s="40"/>
      <c r="C978" s="40"/>
      <c r="D978" s="40"/>
      <c r="E978" s="40"/>
      <c r="F978" s="40"/>
      <c r="G978" s="40"/>
    </row>
    <row r="979">
      <c r="A979" s="40"/>
      <c r="C979" s="40"/>
      <c r="D979" s="40"/>
      <c r="E979" s="40"/>
      <c r="F979" s="40"/>
      <c r="G979" s="40"/>
    </row>
    <row r="980">
      <c r="A980" s="40"/>
      <c r="C980" s="40"/>
      <c r="D980" s="40"/>
      <c r="E980" s="40"/>
      <c r="F980" s="40"/>
      <c r="G980" s="40"/>
    </row>
    <row r="981">
      <c r="A981" s="40"/>
      <c r="C981" s="40"/>
      <c r="D981" s="40"/>
      <c r="E981" s="40"/>
      <c r="F981" s="40"/>
      <c r="G981" s="40"/>
    </row>
    <row r="982">
      <c r="A982" s="40"/>
      <c r="C982" s="40"/>
      <c r="D982" s="40"/>
      <c r="E982" s="40"/>
      <c r="F982" s="40"/>
      <c r="G982" s="40"/>
    </row>
    <row r="983">
      <c r="A983" s="40"/>
      <c r="C983" s="40"/>
      <c r="D983" s="40"/>
      <c r="E983" s="40"/>
      <c r="F983" s="40"/>
      <c r="G983" s="40"/>
    </row>
    <row r="984">
      <c r="A984" s="40"/>
      <c r="C984" s="40"/>
      <c r="D984" s="40"/>
      <c r="E984" s="40"/>
      <c r="F984" s="40"/>
      <c r="G984" s="40"/>
    </row>
    <row r="985">
      <c r="A985" s="40"/>
      <c r="C985" s="40"/>
      <c r="D985" s="40"/>
      <c r="E985" s="40"/>
      <c r="F985" s="40"/>
      <c r="G985" s="40"/>
    </row>
    <row r="986">
      <c r="A986" s="40"/>
      <c r="C986" s="40"/>
      <c r="D986" s="40"/>
      <c r="E986" s="40"/>
      <c r="F986" s="40"/>
      <c r="G986" s="40"/>
    </row>
    <row r="987">
      <c r="A987" s="40"/>
      <c r="C987" s="40"/>
      <c r="D987" s="40"/>
      <c r="E987" s="40"/>
      <c r="F987" s="40"/>
      <c r="G987" s="40"/>
    </row>
    <row r="988">
      <c r="A988" s="40"/>
      <c r="C988" s="40"/>
      <c r="D988" s="40"/>
      <c r="E988" s="40"/>
      <c r="F988" s="40"/>
      <c r="G988" s="40"/>
    </row>
    <row r="989">
      <c r="A989" s="40"/>
      <c r="C989" s="40"/>
      <c r="D989" s="40"/>
      <c r="E989" s="40"/>
      <c r="F989" s="40"/>
      <c r="G989" s="40"/>
    </row>
    <row r="990">
      <c r="A990" s="40"/>
      <c r="C990" s="40"/>
      <c r="D990" s="40"/>
      <c r="E990" s="40"/>
      <c r="F990" s="40"/>
      <c r="G990" s="40"/>
    </row>
    <row r="991">
      <c r="A991" s="40"/>
      <c r="C991" s="40"/>
      <c r="D991" s="40"/>
      <c r="E991" s="40"/>
      <c r="F991" s="40"/>
      <c r="G991" s="40"/>
    </row>
    <row r="992">
      <c r="A992" s="40"/>
      <c r="C992" s="40"/>
      <c r="D992" s="40"/>
      <c r="E992" s="40"/>
      <c r="F992" s="40"/>
      <c r="G992" s="40"/>
    </row>
    <row r="993">
      <c r="A993" s="40"/>
      <c r="C993" s="40"/>
      <c r="D993" s="40"/>
      <c r="E993" s="40"/>
      <c r="F993" s="40"/>
      <c r="G993" s="40"/>
    </row>
    <row r="994">
      <c r="A994" s="40"/>
      <c r="C994" s="40"/>
      <c r="D994" s="40"/>
      <c r="E994" s="40"/>
      <c r="F994" s="40"/>
      <c r="G994" s="40"/>
    </row>
    <row r="995">
      <c r="A995" s="40"/>
      <c r="C995" s="40"/>
      <c r="D995" s="40"/>
      <c r="E995" s="40"/>
      <c r="F995" s="40"/>
      <c r="G995" s="40"/>
    </row>
    <row r="996">
      <c r="A996" s="40"/>
      <c r="C996" s="40"/>
      <c r="D996" s="40"/>
      <c r="E996" s="40"/>
      <c r="F996" s="40"/>
      <c r="G996" s="40"/>
    </row>
    <row r="997">
      <c r="A997" s="40"/>
      <c r="C997" s="40"/>
      <c r="D997" s="40"/>
      <c r="E997" s="40"/>
      <c r="F997" s="40"/>
      <c r="G997" s="40"/>
    </row>
    <row r="998">
      <c r="A998" s="40"/>
      <c r="C998" s="40"/>
      <c r="D998" s="40"/>
      <c r="E998" s="40"/>
      <c r="F998" s="40"/>
      <c r="G998" s="40"/>
    </row>
    <row r="999">
      <c r="A999" s="40"/>
      <c r="C999" s="40"/>
      <c r="D999" s="40"/>
      <c r="E999" s="40"/>
      <c r="F999" s="40"/>
      <c r="G999" s="40"/>
    </row>
  </sheetData>
  <conditionalFormatting sqref="B11:C11 B42:C42 B74:C74">
    <cfRule type="expression" dxfId="0" priority="1">
      <formula>ISTEXT(INDEX(FILTER(INDIRECT("Total!$G$2:$G"), REGEXMATCH(lower($D11), lower(INDIRECT("Total!$G$2:$G")))), 1, 1))</formula>
    </cfRule>
  </conditionalFormatting>
  <conditionalFormatting sqref="B11:C11 B42:C42 B74:C74">
    <cfRule type="expression" dxfId="0" priority="2">
      <formula>ISTEXT(INDEX(FILTER(INDIRECT("Total!$G$2:$G"), REGEXMATCH(lower($F11), lower(INDIRECT("Total!$G$2:$G")))), 1, 1))</formula>
    </cfRule>
  </conditionalFormatting>
  <conditionalFormatting sqref="B11:C11 B42:C42 B74:C74">
    <cfRule type="expression" dxfId="0" priority="3">
      <formula>ISTEXT(INDEX(FILTER(INDIRECT("Total!$G$2:$G"), REGEXMATCH(lower($H11), lower(INDIRECT("Total!$G$2:$G")))), 1, 1))</formula>
    </cfRule>
  </conditionalFormatting>
  <conditionalFormatting sqref="B11:C11 B42:C42 B74:C74">
    <cfRule type="expression" dxfId="0" priority="4">
      <formula>ISTEXT(INDEX(FILTER(INDIRECT("Total!$G$2:$G"), REGEXMATCH(lower($J11), lower(INDIRECT("Total!$G$2:$G")))), 1, 1))</formula>
    </cfRule>
  </conditionalFormatting>
  <conditionalFormatting sqref="B11:C11 B42:C42 B74:C74">
    <cfRule type="expression" dxfId="0" priority="5">
      <formula>ISTEXT(INDEX(FILTER(INDIRECT("Total!$G$2:$G"), REGEXMATCH(lower($L11), lower(INDIRECT("Total!$G$2:$G")))), 1, 1))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0.13"/>
    <col customWidth="1" min="3" max="3" width="18.25"/>
    <col customWidth="1" min="4" max="4" width="15.75"/>
    <col customWidth="1" min="5" max="5" width="20.25"/>
    <col customWidth="1" min="6" max="6" width="14.38"/>
    <col customWidth="1" min="7" max="7" width="15.63"/>
    <col customWidth="1" min="8" max="8" width="24.63"/>
  </cols>
  <sheetData>
    <row r="1">
      <c r="A1" s="46" t="s">
        <v>17</v>
      </c>
      <c r="B1" s="46" t="s">
        <v>375</v>
      </c>
      <c r="C1" s="46" t="s">
        <v>5</v>
      </c>
      <c r="D1" s="46" t="s">
        <v>469</v>
      </c>
      <c r="E1" s="64" t="s">
        <v>470</v>
      </c>
      <c r="F1" s="65"/>
      <c r="H1" s="66" t="s">
        <v>383</v>
      </c>
      <c r="I1" s="47" t="s">
        <v>384</v>
      </c>
    </row>
    <row r="2">
      <c r="A2" s="67">
        <v>1.0</v>
      </c>
      <c r="B2" s="68" t="s">
        <v>93</v>
      </c>
      <c r="C2" s="68" t="s">
        <v>94</v>
      </c>
      <c r="D2" s="67">
        <v>6.0</v>
      </c>
      <c r="E2" s="69" t="s">
        <v>471</v>
      </c>
      <c r="F2" s="65"/>
      <c r="H2" s="68" t="s">
        <v>127</v>
      </c>
      <c r="I2" s="68" t="s">
        <v>386</v>
      </c>
    </row>
    <row r="3">
      <c r="A3" s="67">
        <v>2.0</v>
      </c>
      <c r="B3" s="68" t="s">
        <v>101</v>
      </c>
      <c r="C3" s="68" t="s">
        <v>32</v>
      </c>
      <c r="D3" s="67">
        <v>5.0</v>
      </c>
      <c r="E3" s="70" t="s">
        <v>387</v>
      </c>
      <c r="F3" s="65"/>
      <c r="H3" s="68" t="s">
        <v>128</v>
      </c>
      <c r="I3" s="68" t="s">
        <v>75</v>
      </c>
    </row>
    <row r="4">
      <c r="A4" s="67">
        <v>3.0</v>
      </c>
      <c r="B4" s="68" t="s">
        <v>27</v>
      </c>
      <c r="C4" s="68" t="s">
        <v>28</v>
      </c>
      <c r="D4" s="67">
        <v>24.0</v>
      </c>
      <c r="E4" s="70" t="s">
        <v>387</v>
      </c>
      <c r="F4" s="65"/>
      <c r="H4" s="68" t="s">
        <v>103</v>
      </c>
      <c r="I4" s="68" t="s">
        <v>57</v>
      </c>
    </row>
    <row r="5">
      <c r="A5" s="67">
        <v>4.0</v>
      </c>
      <c r="B5" s="68" t="s">
        <v>127</v>
      </c>
      <c r="C5" s="68" t="s">
        <v>73</v>
      </c>
      <c r="D5" s="67">
        <v>5.0</v>
      </c>
      <c r="E5" s="70" t="s">
        <v>472</v>
      </c>
      <c r="F5" s="65"/>
      <c r="H5" s="68" t="s">
        <v>408</v>
      </c>
      <c r="I5" s="68" t="s">
        <v>386</v>
      </c>
    </row>
    <row r="6">
      <c r="A6" s="67">
        <v>6.0</v>
      </c>
      <c r="B6" s="68" t="s">
        <v>193</v>
      </c>
      <c r="C6" s="68" t="s">
        <v>125</v>
      </c>
      <c r="D6" s="67">
        <v>7.0</v>
      </c>
      <c r="E6" s="71" t="s">
        <v>473</v>
      </c>
      <c r="F6" s="65"/>
      <c r="H6" s="68" t="s">
        <v>415</v>
      </c>
      <c r="I6" s="68" t="s">
        <v>386</v>
      </c>
    </row>
    <row r="7">
      <c r="A7" s="67">
        <v>7.0</v>
      </c>
      <c r="B7" s="68" t="s">
        <v>124</v>
      </c>
      <c r="C7" s="68" t="s">
        <v>125</v>
      </c>
      <c r="D7" s="67">
        <v>4.0</v>
      </c>
      <c r="E7" s="72">
        <v>44231.0</v>
      </c>
      <c r="F7" s="65"/>
      <c r="H7" s="68" t="s">
        <v>421</v>
      </c>
      <c r="I7" s="68" t="s">
        <v>75</v>
      </c>
    </row>
    <row r="8">
      <c r="A8" s="67">
        <v>8.0</v>
      </c>
      <c r="B8" s="68" t="s">
        <v>128</v>
      </c>
      <c r="C8" s="65"/>
      <c r="D8" s="67">
        <v>1.0</v>
      </c>
      <c r="E8" s="71" t="s">
        <v>444</v>
      </c>
      <c r="F8" s="65"/>
      <c r="H8" s="68" t="s">
        <v>427</v>
      </c>
      <c r="I8" s="65"/>
    </row>
    <row r="9">
      <c r="A9" s="67">
        <v>9.0</v>
      </c>
      <c r="B9" s="68" t="s">
        <v>74</v>
      </c>
      <c r="C9" s="68" t="s">
        <v>75</v>
      </c>
      <c r="D9" s="67">
        <v>5.0</v>
      </c>
      <c r="E9" s="71" t="s">
        <v>474</v>
      </c>
      <c r="F9" s="65"/>
      <c r="H9" s="68" t="s">
        <v>138</v>
      </c>
      <c r="I9" s="68" t="s">
        <v>75</v>
      </c>
    </row>
    <row r="10">
      <c r="A10" s="67">
        <v>10.0</v>
      </c>
      <c r="B10" s="68" t="s">
        <v>90</v>
      </c>
      <c r="C10" s="68" t="s">
        <v>91</v>
      </c>
      <c r="D10" s="67">
        <v>13.0</v>
      </c>
      <c r="E10" s="73">
        <v>44448.0</v>
      </c>
      <c r="F10" s="65"/>
      <c r="H10" s="68" t="s">
        <v>49</v>
      </c>
      <c r="I10" s="68" t="s">
        <v>57</v>
      </c>
    </row>
    <row r="11">
      <c r="A11" s="67">
        <v>11.0</v>
      </c>
      <c r="B11" s="68" t="s">
        <v>197</v>
      </c>
      <c r="C11" s="68" t="s">
        <v>25</v>
      </c>
      <c r="D11" s="67">
        <v>11.0</v>
      </c>
      <c r="E11" s="74">
        <v>44448.0</v>
      </c>
      <c r="F11" s="65"/>
      <c r="H11" s="68" t="s">
        <v>405</v>
      </c>
      <c r="I11" s="68" t="s">
        <v>75</v>
      </c>
    </row>
    <row r="12">
      <c r="A12" s="67">
        <v>12.0</v>
      </c>
      <c r="B12" s="68" t="s">
        <v>241</v>
      </c>
      <c r="C12" s="68" t="s">
        <v>142</v>
      </c>
      <c r="D12" s="67">
        <v>3.0</v>
      </c>
      <c r="E12" s="74">
        <v>44448.0</v>
      </c>
      <c r="F12" s="65"/>
      <c r="H12" s="68" t="s">
        <v>420</v>
      </c>
      <c r="I12" s="68" t="s">
        <v>75</v>
      </c>
    </row>
    <row r="13">
      <c r="A13" s="67">
        <v>13.0</v>
      </c>
      <c r="B13" s="68" t="s">
        <v>475</v>
      </c>
      <c r="C13" s="68" t="s">
        <v>30</v>
      </c>
      <c r="D13" s="67">
        <v>1.0</v>
      </c>
      <c r="E13" s="75">
        <v>44540.0</v>
      </c>
      <c r="F13" s="65"/>
      <c r="H13" s="68" t="s">
        <v>108</v>
      </c>
      <c r="I13" s="68" t="s">
        <v>109</v>
      </c>
    </row>
    <row r="14">
      <c r="A14" s="67">
        <v>14.0</v>
      </c>
      <c r="B14" s="68" t="s">
        <v>48</v>
      </c>
      <c r="C14" s="68" t="s">
        <v>25</v>
      </c>
      <c r="D14" s="67">
        <v>16.0</v>
      </c>
      <c r="E14" s="76" t="s">
        <v>476</v>
      </c>
      <c r="F14" s="65"/>
      <c r="H14" s="68" t="s">
        <v>321</v>
      </c>
      <c r="I14" s="68" t="s">
        <v>57</v>
      </c>
    </row>
    <row r="15">
      <c r="A15" s="67">
        <v>15.0</v>
      </c>
      <c r="B15" s="68" t="s">
        <v>24</v>
      </c>
      <c r="C15" s="68" t="s">
        <v>25</v>
      </c>
      <c r="D15" s="67">
        <v>20.0</v>
      </c>
      <c r="E15" s="76" t="s">
        <v>476</v>
      </c>
      <c r="F15" s="65"/>
      <c r="H15" s="68" t="s">
        <v>108</v>
      </c>
      <c r="I15" s="68" t="s">
        <v>109</v>
      </c>
    </row>
    <row r="16">
      <c r="A16" s="67">
        <v>16.0</v>
      </c>
      <c r="B16" s="68" t="s">
        <v>88</v>
      </c>
      <c r="C16" s="68" t="s">
        <v>89</v>
      </c>
      <c r="D16" s="67">
        <v>7.0</v>
      </c>
      <c r="E16" s="76" t="s">
        <v>476</v>
      </c>
      <c r="F16" s="65"/>
      <c r="H16" s="68" t="s">
        <v>48</v>
      </c>
      <c r="I16" s="68" t="s">
        <v>394</v>
      </c>
    </row>
    <row r="17">
      <c r="A17" s="67">
        <v>17.0</v>
      </c>
      <c r="B17" s="68" t="s">
        <v>184</v>
      </c>
      <c r="C17" s="68" t="s">
        <v>131</v>
      </c>
      <c r="D17" s="67">
        <v>4.0</v>
      </c>
      <c r="E17" s="70" t="s">
        <v>477</v>
      </c>
      <c r="F17" s="65"/>
      <c r="H17" s="68" t="s">
        <v>24</v>
      </c>
      <c r="I17" s="68" t="s">
        <v>394</v>
      </c>
    </row>
    <row r="18">
      <c r="A18" s="67">
        <v>18.0</v>
      </c>
      <c r="B18" s="68" t="s">
        <v>108</v>
      </c>
      <c r="C18" s="68" t="s">
        <v>109</v>
      </c>
      <c r="D18" s="67">
        <v>9.0</v>
      </c>
      <c r="E18" s="69" t="s">
        <v>416</v>
      </c>
      <c r="F18" s="65"/>
      <c r="H18" s="68" t="s">
        <v>88</v>
      </c>
      <c r="I18" s="68" t="s">
        <v>394</v>
      </c>
    </row>
    <row r="19">
      <c r="A19" s="67">
        <v>19.0</v>
      </c>
      <c r="B19" s="68" t="s">
        <v>82</v>
      </c>
      <c r="C19" s="68" t="s">
        <v>66</v>
      </c>
      <c r="D19" s="67">
        <v>11.0</v>
      </c>
      <c r="E19" s="70" t="s">
        <v>418</v>
      </c>
      <c r="F19" s="65"/>
      <c r="H19" s="68" t="s">
        <v>197</v>
      </c>
      <c r="I19" s="68" t="s">
        <v>394</v>
      </c>
    </row>
    <row r="20">
      <c r="A20" s="67">
        <v>20.0</v>
      </c>
      <c r="B20" s="68" t="s">
        <v>155</v>
      </c>
      <c r="C20" s="68" t="s">
        <v>66</v>
      </c>
      <c r="D20" s="67">
        <v>3.0</v>
      </c>
      <c r="E20" s="72">
        <v>44290.0</v>
      </c>
      <c r="F20" s="65"/>
      <c r="H20" s="68" t="s">
        <v>241</v>
      </c>
      <c r="I20" s="68" t="s">
        <v>396</v>
      </c>
    </row>
    <row r="21">
      <c r="A21" s="67">
        <v>21.0</v>
      </c>
      <c r="B21" s="68" t="s">
        <v>136</v>
      </c>
      <c r="C21" s="68" t="s">
        <v>66</v>
      </c>
      <c r="D21" s="67">
        <v>6.0</v>
      </c>
      <c r="E21" s="70" t="s">
        <v>418</v>
      </c>
      <c r="F21" s="65"/>
      <c r="H21" s="68" t="s">
        <v>351</v>
      </c>
      <c r="I21" s="68" t="s">
        <v>75</v>
      </c>
    </row>
    <row r="22">
      <c r="A22" s="67">
        <v>22.0</v>
      </c>
      <c r="B22" s="68" t="s">
        <v>185</v>
      </c>
      <c r="C22" s="68" t="s">
        <v>186</v>
      </c>
      <c r="D22" s="67">
        <v>4.0</v>
      </c>
      <c r="E22" s="72">
        <v>44266.0</v>
      </c>
      <c r="F22" s="65"/>
      <c r="G22" s="65"/>
      <c r="H22" s="77" t="s">
        <v>478</v>
      </c>
      <c r="I22" s="77" t="s">
        <v>75</v>
      </c>
    </row>
    <row r="23">
      <c r="A23" s="67">
        <v>23.0</v>
      </c>
      <c r="B23" s="68" t="s">
        <v>103</v>
      </c>
      <c r="C23" s="68" t="s">
        <v>39</v>
      </c>
      <c r="D23" s="67">
        <v>3.0</v>
      </c>
      <c r="E23" s="71" t="s">
        <v>479</v>
      </c>
      <c r="F23" s="65"/>
      <c r="G23" s="65"/>
      <c r="H23" s="77" t="s">
        <v>193</v>
      </c>
      <c r="I23" s="77" t="s">
        <v>386</v>
      </c>
    </row>
    <row r="24">
      <c r="A24" s="67">
        <v>24.0</v>
      </c>
      <c r="B24" s="68" t="s">
        <v>216</v>
      </c>
      <c r="C24" s="68" t="s">
        <v>192</v>
      </c>
      <c r="D24" s="67">
        <v>2.0</v>
      </c>
      <c r="E24" s="71" t="s">
        <v>480</v>
      </c>
      <c r="F24" s="65"/>
      <c r="G24" s="65"/>
      <c r="H24" s="77" t="s">
        <v>405</v>
      </c>
      <c r="I24" s="77" t="s">
        <v>57</v>
      </c>
    </row>
    <row r="25">
      <c r="A25" s="67">
        <v>25.0</v>
      </c>
      <c r="B25" s="68" t="s">
        <v>22</v>
      </c>
      <c r="C25" s="68" t="s">
        <v>23</v>
      </c>
      <c r="D25" s="67">
        <v>3.0</v>
      </c>
      <c r="E25" s="70" t="s">
        <v>481</v>
      </c>
      <c r="F25" s="65"/>
      <c r="G25" s="65"/>
      <c r="H25" s="68" t="s">
        <v>191</v>
      </c>
      <c r="I25" s="68" t="s">
        <v>192</v>
      </c>
    </row>
    <row r="26">
      <c r="A26" s="67">
        <v>26.0</v>
      </c>
      <c r="B26" s="68" t="s">
        <v>191</v>
      </c>
      <c r="C26" s="68" t="s">
        <v>192</v>
      </c>
      <c r="D26" s="67">
        <v>3.0</v>
      </c>
      <c r="E26" s="70" t="s">
        <v>482</v>
      </c>
      <c r="F26" s="68" t="s">
        <v>483</v>
      </c>
      <c r="G26" s="65"/>
      <c r="H26" s="77" t="s">
        <v>45</v>
      </c>
      <c r="I26" s="77" t="s">
        <v>303</v>
      </c>
    </row>
    <row r="27">
      <c r="A27" s="67">
        <v>27.0</v>
      </c>
      <c r="B27" s="68" t="s">
        <v>199</v>
      </c>
      <c r="C27" s="68" t="s">
        <v>28</v>
      </c>
      <c r="D27" s="67">
        <v>1.0</v>
      </c>
      <c r="E27" s="71" t="s">
        <v>484</v>
      </c>
      <c r="F27" s="65"/>
      <c r="G27" s="65"/>
      <c r="H27" s="68" t="s">
        <v>360</v>
      </c>
      <c r="I27" s="68" t="s">
        <v>361</v>
      </c>
    </row>
    <row r="28">
      <c r="A28" s="67">
        <v>28.0</v>
      </c>
      <c r="B28" s="68" t="s">
        <v>98</v>
      </c>
      <c r="C28" s="68" t="s">
        <v>94</v>
      </c>
      <c r="D28" s="67">
        <v>2.0</v>
      </c>
      <c r="E28" s="70" t="s">
        <v>485</v>
      </c>
      <c r="F28" s="65"/>
      <c r="G28" s="65"/>
      <c r="H28" s="77" t="s">
        <v>420</v>
      </c>
      <c r="I28" s="77" t="s">
        <v>75</v>
      </c>
    </row>
    <row r="29">
      <c r="A29" s="67">
        <v>29.0</v>
      </c>
      <c r="B29" s="68" t="s">
        <v>486</v>
      </c>
      <c r="C29" s="65"/>
      <c r="D29" s="67">
        <v>2.0</v>
      </c>
      <c r="E29" s="71" t="s">
        <v>487</v>
      </c>
      <c r="F29" s="65"/>
      <c r="G29" s="65"/>
    </row>
    <row r="30">
      <c r="A30" s="67">
        <v>30.0</v>
      </c>
      <c r="B30" s="68" t="s">
        <v>130</v>
      </c>
      <c r="C30" s="68" t="s">
        <v>39</v>
      </c>
      <c r="D30" s="67">
        <v>14.0</v>
      </c>
      <c r="E30" s="71" t="s">
        <v>488</v>
      </c>
      <c r="F30" s="65"/>
      <c r="G30" s="65"/>
    </row>
    <row r="31">
      <c r="A31" s="67">
        <v>31.0</v>
      </c>
      <c r="B31" s="68" t="s">
        <v>225</v>
      </c>
      <c r="C31" s="68" t="s">
        <v>73</v>
      </c>
      <c r="D31" s="67">
        <v>1.0</v>
      </c>
      <c r="E31" s="71" t="s">
        <v>488</v>
      </c>
      <c r="F31" s="65"/>
      <c r="G31" s="65"/>
    </row>
    <row r="32">
      <c r="A32" s="67">
        <v>32.0</v>
      </c>
      <c r="B32" s="68" t="s">
        <v>45</v>
      </c>
      <c r="C32" s="68" t="s">
        <v>46</v>
      </c>
      <c r="D32" s="67">
        <v>21.0</v>
      </c>
      <c r="E32" s="71" t="s">
        <v>488</v>
      </c>
      <c r="F32" s="65"/>
      <c r="G32" s="65"/>
    </row>
    <row r="33">
      <c r="A33" s="67">
        <v>33.0</v>
      </c>
      <c r="B33" s="68" t="s">
        <v>489</v>
      </c>
      <c r="C33" s="68" t="s">
        <v>42</v>
      </c>
      <c r="D33" s="67">
        <v>14.0</v>
      </c>
      <c r="E33" s="71" t="s">
        <v>490</v>
      </c>
      <c r="F33" s="65"/>
      <c r="G33" s="65"/>
    </row>
    <row r="34">
      <c r="A34" s="67">
        <v>35.0</v>
      </c>
      <c r="B34" s="68" t="s">
        <v>41</v>
      </c>
      <c r="C34" s="68" t="s">
        <v>42</v>
      </c>
      <c r="D34" s="67">
        <v>11.0</v>
      </c>
      <c r="E34" s="71" t="s">
        <v>491</v>
      </c>
      <c r="F34" s="65"/>
      <c r="G34" s="65"/>
    </row>
    <row r="35">
      <c r="A35" s="67">
        <v>36.0</v>
      </c>
      <c r="B35" s="68" t="s">
        <v>360</v>
      </c>
      <c r="C35" s="68" t="s">
        <v>361</v>
      </c>
      <c r="D35" s="67">
        <v>1.0</v>
      </c>
      <c r="E35" s="71" t="s">
        <v>416</v>
      </c>
      <c r="F35" s="65"/>
      <c r="G35" s="65"/>
    </row>
    <row r="36">
      <c r="A36" s="67">
        <v>37.0</v>
      </c>
      <c r="B36" s="68" t="s">
        <v>321</v>
      </c>
      <c r="C36" s="68" t="s">
        <v>94</v>
      </c>
      <c r="D36" s="67">
        <v>2.0</v>
      </c>
      <c r="E36" s="69" t="s">
        <v>442</v>
      </c>
      <c r="F36" s="65"/>
      <c r="G36" s="65"/>
    </row>
    <row r="37">
      <c r="A37" s="67">
        <v>38.0</v>
      </c>
      <c r="B37" s="68" t="s">
        <v>38</v>
      </c>
      <c r="C37" s="68" t="s">
        <v>39</v>
      </c>
      <c r="D37" s="67">
        <v>13.0</v>
      </c>
      <c r="E37" s="71" t="s">
        <v>492</v>
      </c>
      <c r="F37" s="65"/>
      <c r="G37" s="65"/>
    </row>
    <row r="38">
      <c r="A38" s="67">
        <v>39.0</v>
      </c>
      <c r="B38" s="68" t="s">
        <v>84</v>
      </c>
      <c r="C38" s="68" t="s">
        <v>32</v>
      </c>
      <c r="D38" s="67">
        <v>10.0</v>
      </c>
      <c r="E38" s="71" t="s">
        <v>492</v>
      </c>
      <c r="F38" s="65"/>
      <c r="G38" s="65"/>
    </row>
    <row r="39">
      <c r="A39" s="67">
        <v>40.0</v>
      </c>
      <c r="B39" s="68" t="s">
        <v>72</v>
      </c>
      <c r="C39" s="68" t="s">
        <v>73</v>
      </c>
      <c r="D39" s="67">
        <v>4.0</v>
      </c>
      <c r="E39" s="71" t="s">
        <v>492</v>
      </c>
      <c r="F39" s="65"/>
      <c r="G39" s="65"/>
    </row>
    <row r="40">
      <c r="A40" s="67">
        <v>41.0</v>
      </c>
      <c r="B40" s="68" t="s">
        <v>351</v>
      </c>
      <c r="C40" s="68" t="s">
        <v>352</v>
      </c>
      <c r="D40" s="67">
        <v>1.0</v>
      </c>
      <c r="E40" s="70" t="s">
        <v>493</v>
      </c>
      <c r="F40" s="65"/>
      <c r="G40" s="65"/>
    </row>
    <row r="41">
      <c r="A41" s="67">
        <v>42.0</v>
      </c>
      <c r="B41" s="68" t="s">
        <v>31</v>
      </c>
      <c r="C41" s="68" t="s">
        <v>32</v>
      </c>
      <c r="D41" s="67">
        <v>3.0</v>
      </c>
      <c r="E41" s="71" t="s">
        <v>494</v>
      </c>
      <c r="F41" s="65"/>
      <c r="G41" s="65"/>
    </row>
    <row r="42">
      <c r="A42" s="67">
        <v>43.0</v>
      </c>
      <c r="B42" s="68" t="s">
        <v>107</v>
      </c>
      <c r="C42" s="68" t="s">
        <v>54</v>
      </c>
      <c r="D42" s="67">
        <v>2.0</v>
      </c>
      <c r="E42" s="70" t="s">
        <v>495</v>
      </c>
      <c r="F42" s="65"/>
      <c r="G42" s="65"/>
    </row>
    <row r="43">
      <c r="A43" s="67">
        <v>44.0</v>
      </c>
      <c r="B43" s="68" t="s">
        <v>112</v>
      </c>
      <c r="C43" s="68" t="s">
        <v>54</v>
      </c>
      <c r="D43" s="67">
        <v>2.0</v>
      </c>
      <c r="E43" s="70" t="s">
        <v>495</v>
      </c>
      <c r="F43" s="65"/>
      <c r="G43" s="65"/>
    </row>
    <row r="44">
      <c r="A44" s="67">
        <v>45.0</v>
      </c>
      <c r="B44" s="68" t="s">
        <v>151</v>
      </c>
      <c r="C44" s="65"/>
      <c r="D44" s="67">
        <v>1.0</v>
      </c>
      <c r="E44" s="70" t="s">
        <v>495</v>
      </c>
      <c r="F44" s="65"/>
      <c r="G44" s="65"/>
    </row>
    <row r="45">
      <c r="A45" s="67">
        <v>46.0</v>
      </c>
      <c r="B45" s="68" t="s">
        <v>122</v>
      </c>
      <c r="C45" s="68" t="s">
        <v>54</v>
      </c>
      <c r="D45" s="67">
        <v>1.0</v>
      </c>
      <c r="E45" s="70" t="s">
        <v>495</v>
      </c>
      <c r="F45" s="65"/>
      <c r="G45" s="65"/>
    </row>
    <row r="46">
      <c r="A46" s="67">
        <v>47.0</v>
      </c>
      <c r="B46" s="68" t="s">
        <v>203</v>
      </c>
      <c r="C46" s="68" t="s">
        <v>54</v>
      </c>
      <c r="D46" s="67">
        <v>2.0</v>
      </c>
      <c r="E46" s="70" t="s">
        <v>495</v>
      </c>
      <c r="F46" s="65"/>
      <c r="G46" s="65"/>
    </row>
    <row r="47">
      <c r="A47" s="67">
        <v>48.0</v>
      </c>
      <c r="B47" s="68" t="s">
        <v>53</v>
      </c>
      <c r="C47" s="68" t="s">
        <v>54</v>
      </c>
      <c r="D47" s="67">
        <v>2.0</v>
      </c>
      <c r="E47" s="70" t="s">
        <v>495</v>
      </c>
      <c r="F47" s="65"/>
      <c r="G47" s="65"/>
    </row>
    <row r="48">
      <c r="A48" s="67">
        <v>49.0</v>
      </c>
      <c r="B48" s="68" t="s">
        <v>29</v>
      </c>
      <c r="C48" s="68" t="s">
        <v>30</v>
      </c>
      <c r="D48" s="67">
        <v>9.0</v>
      </c>
      <c r="E48" s="71" t="s">
        <v>496</v>
      </c>
      <c r="F48" s="65"/>
      <c r="G48" s="65"/>
    </row>
    <row r="49">
      <c r="A49" s="67">
        <v>50.0</v>
      </c>
      <c r="B49" s="68" t="s">
        <v>49</v>
      </c>
      <c r="C49" s="68" t="s">
        <v>30</v>
      </c>
      <c r="D49" s="67">
        <v>4.0</v>
      </c>
      <c r="E49" s="71" t="s">
        <v>497</v>
      </c>
      <c r="F49" s="65"/>
      <c r="G49" s="65"/>
    </row>
    <row r="50">
      <c r="A50" s="67">
        <v>51.0</v>
      </c>
      <c r="B50" s="68" t="s">
        <v>56</v>
      </c>
      <c r="C50" s="68" t="s">
        <v>57</v>
      </c>
      <c r="D50" s="67">
        <v>1.0</v>
      </c>
      <c r="E50" s="71" t="s">
        <v>497</v>
      </c>
      <c r="F50" s="65"/>
      <c r="G50" s="65"/>
    </row>
    <row r="51">
      <c r="A51" s="67">
        <v>52.0</v>
      </c>
      <c r="B51" s="68" t="s">
        <v>104</v>
      </c>
      <c r="C51" s="68" t="s">
        <v>75</v>
      </c>
      <c r="D51" s="67">
        <v>2.0</v>
      </c>
      <c r="E51" s="71" t="s">
        <v>498</v>
      </c>
      <c r="F51" s="65"/>
      <c r="G51" s="65"/>
    </row>
    <row r="52">
      <c r="A52" s="67">
        <v>53.0</v>
      </c>
      <c r="B52" s="68" t="s">
        <v>346</v>
      </c>
      <c r="C52" s="68" t="s">
        <v>157</v>
      </c>
      <c r="D52" s="67">
        <v>2.0</v>
      </c>
      <c r="E52" s="71" t="s">
        <v>499</v>
      </c>
      <c r="F52" s="65"/>
      <c r="G52" s="65"/>
    </row>
    <row r="53">
      <c r="A53" s="67">
        <v>54.0</v>
      </c>
      <c r="B53" s="68" t="s">
        <v>156</v>
      </c>
      <c r="C53" s="68" t="s">
        <v>157</v>
      </c>
      <c r="D53" s="67">
        <v>4.0</v>
      </c>
      <c r="E53" s="71" t="s">
        <v>499</v>
      </c>
      <c r="F53" s="65"/>
      <c r="G53" s="65"/>
    </row>
    <row r="54">
      <c r="A54" s="67">
        <v>55.0</v>
      </c>
      <c r="B54" s="68" t="s">
        <v>222</v>
      </c>
      <c r="C54" s="68" t="s">
        <v>30</v>
      </c>
      <c r="D54" s="67">
        <v>4.0</v>
      </c>
      <c r="E54" s="69" t="s">
        <v>500</v>
      </c>
      <c r="F54" s="65"/>
      <c r="G54" s="65"/>
    </row>
    <row r="55">
      <c r="A55" s="67">
        <v>56.0</v>
      </c>
      <c r="B55" s="68" t="s">
        <v>79</v>
      </c>
      <c r="C55" s="68" t="s">
        <v>80</v>
      </c>
      <c r="D55" s="67">
        <v>2.0</v>
      </c>
      <c r="E55" s="71" t="s">
        <v>501</v>
      </c>
      <c r="F55" s="65"/>
      <c r="G55" s="65"/>
    </row>
    <row r="56">
      <c r="A56" s="67">
        <v>57.0</v>
      </c>
      <c r="B56" s="68" t="s">
        <v>210</v>
      </c>
      <c r="C56" s="68" t="s">
        <v>142</v>
      </c>
      <c r="D56" s="67">
        <v>1.0</v>
      </c>
      <c r="E56" s="71" t="s">
        <v>502</v>
      </c>
      <c r="F56" s="65"/>
      <c r="G56" s="65"/>
    </row>
    <row r="57">
      <c r="A57" s="67">
        <v>58.0</v>
      </c>
      <c r="B57" s="68" t="s">
        <v>148</v>
      </c>
      <c r="C57" s="68" t="s">
        <v>142</v>
      </c>
      <c r="D57" s="67">
        <v>2.0</v>
      </c>
      <c r="E57" s="71" t="s">
        <v>502</v>
      </c>
      <c r="F57" s="65"/>
      <c r="G57" s="65"/>
    </row>
    <row r="58">
      <c r="A58" s="67">
        <v>59.0</v>
      </c>
      <c r="B58" s="68" t="s">
        <v>138</v>
      </c>
      <c r="C58" s="68" t="s">
        <v>139</v>
      </c>
      <c r="D58" s="67">
        <v>3.0</v>
      </c>
      <c r="E58" s="70" t="s">
        <v>503</v>
      </c>
      <c r="F58" s="65"/>
      <c r="G58" s="65"/>
    </row>
    <row r="59">
      <c r="A59" s="67">
        <v>60.0</v>
      </c>
      <c r="B59" s="68" t="s">
        <v>330</v>
      </c>
      <c r="C59" s="68" t="s">
        <v>331</v>
      </c>
      <c r="D59" s="67">
        <v>1.0</v>
      </c>
      <c r="E59" s="71" t="s">
        <v>504</v>
      </c>
      <c r="F59" s="65"/>
      <c r="G59" s="65"/>
    </row>
    <row r="60">
      <c r="A60" s="67">
        <v>61.0</v>
      </c>
      <c r="B60" s="68" t="s">
        <v>212</v>
      </c>
      <c r="C60" s="68" t="s">
        <v>213</v>
      </c>
      <c r="D60" s="67">
        <v>2.0</v>
      </c>
      <c r="E60" s="71" t="s">
        <v>505</v>
      </c>
      <c r="F60" s="65"/>
      <c r="G60" s="65"/>
    </row>
    <row r="61">
      <c r="A61" s="67">
        <v>62.0</v>
      </c>
      <c r="B61" s="68" t="s">
        <v>95</v>
      </c>
      <c r="C61" s="68" t="s">
        <v>96</v>
      </c>
      <c r="D61" s="67">
        <v>1.0</v>
      </c>
      <c r="E61" s="71" t="s">
        <v>506</v>
      </c>
      <c r="F61" s="65"/>
      <c r="G61" s="65"/>
    </row>
    <row r="62">
      <c r="A62" s="67">
        <v>63.0</v>
      </c>
      <c r="B62" s="68" t="s">
        <v>33</v>
      </c>
      <c r="C62" s="68" t="s">
        <v>34</v>
      </c>
      <c r="D62" s="67">
        <v>32.0</v>
      </c>
      <c r="E62" s="71" t="s">
        <v>507</v>
      </c>
      <c r="F62" s="65"/>
      <c r="G62" s="65"/>
    </row>
    <row r="63">
      <c r="A63" s="67">
        <v>64.0</v>
      </c>
      <c r="B63" s="68" t="s">
        <v>508</v>
      </c>
      <c r="C63" s="68" t="s">
        <v>34</v>
      </c>
      <c r="D63" s="67">
        <v>1.0</v>
      </c>
      <c r="E63" s="71" t="s">
        <v>507</v>
      </c>
      <c r="F63" s="65"/>
      <c r="G63" s="65"/>
    </row>
    <row r="64">
      <c r="A64" s="78"/>
      <c r="B64" s="78"/>
      <c r="C64" s="79" t="s">
        <v>509</v>
      </c>
      <c r="D64" s="80">
        <v>357.0</v>
      </c>
      <c r="E64" s="78"/>
      <c r="F64" s="78"/>
      <c r="G64" s="78"/>
    </row>
    <row r="65">
      <c r="A65" s="78"/>
      <c r="B65" s="78"/>
      <c r="C65" s="78"/>
      <c r="D65" s="81"/>
      <c r="E65" s="78"/>
      <c r="F65" s="78"/>
      <c r="G65" s="78"/>
    </row>
    <row r="66">
      <c r="A66" s="78"/>
      <c r="B66" s="78"/>
      <c r="C66" s="82" t="s">
        <v>510</v>
      </c>
      <c r="D66" s="83">
        <v>156.0</v>
      </c>
      <c r="E66" s="78"/>
      <c r="F66" s="78"/>
      <c r="G66" s="78"/>
    </row>
    <row r="67">
      <c r="A67" s="78"/>
      <c r="B67" s="78"/>
      <c r="C67" s="82" t="s">
        <v>511</v>
      </c>
      <c r="D67" s="83">
        <v>109.0</v>
      </c>
      <c r="E67" s="78"/>
      <c r="F67" s="78"/>
      <c r="G67" s="78"/>
    </row>
    <row r="68">
      <c r="A68" s="78"/>
      <c r="B68" s="78"/>
      <c r="C68" s="82" t="s">
        <v>512</v>
      </c>
      <c r="D68" s="83">
        <v>48.0</v>
      </c>
      <c r="E68" s="78"/>
      <c r="F68" s="78"/>
      <c r="G68" s="78"/>
    </row>
  </sheetData>
  <drawing r:id="rId1"/>
</worksheet>
</file>